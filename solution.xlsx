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cesar_moreno_ufv_es/Documents/32.- SLU BTM/midterm/"/>
    </mc:Choice>
  </mc:AlternateContent>
  <xr:revisionPtr revIDLastSave="108" documentId="8_{0529E4DD-AD5E-44CC-AD6B-BA3AFCD24B2A}" xr6:coauthVersionLast="47" xr6:coauthVersionMax="47" xr10:uidLastSave="{F729DC75-5AB3-4A61-A36D-4DF000244DA7}"/>
  <bookViews>
    <workbookView xWindow="28680" yWindow="-690" windowWidth="29040" windowHeight="15720" xr2:uid="{00000000-000D-0000-FFFF-FFFF00000000}"/>
  </bookViews>
  <sheets>
    <sheet name="Section 1 " sheetId="1" r:id="rId1"/>
    <sheet name="Section 2" sheetId="2" r:id="rId2"/>
    <sheet name="Section 3" sheetId="3" r:id="rId3"/>
    <sheet name="Section 4" sheetId="4" r:id="rId4"/>
    <sheet name="grading sheet" sheetId="5" r:id="rId5"/>
  </sheets>
  <definedNames>
    <definedName name="Assists">'Section 1 '!$E$16:$E$27</definedName>
    <definedName name="Attendance">'Section 2'!$J$15:$J$22</definedName>
    <definedName name="Avg_Attendance">'Section 2'!$B$15:$B$22</definedName>
    <definedName name="Capacity">'Section 2'!$F$15:$F$22</definedName>
    <definedName name="CLEANID">_xlfn.LAMBDA(_xlpm.cell,TRIM(CLEAN(SUBSTITUTE(SUBSTITUTE(SUBSTITUTE(SUBSTITUTE(_xlpm.cell,_xlfn.UNICHAR(8203),""),_xlfn.UNICHAR(8204),""),_xlfn.UNICHAR(65279),"")," ",""))))</definedName>
    <definedName name="Coach_Name">'Section 2'!$H$15:$H$22</definedName>
    <definedName name="Goals">'Section 1 '!$D$16:$D$27</definedName>
    <definedName name="League">'Section 2'!$D$15:$D$22</definedName>
    <definedName name="MarketValue">'Section 1 '!$J$16:$J$27</definedName>
    <definedName name="Matches">'Section 1 '!$F$16:$F$27</definedName>
    <definedName name="PlayerName">'Section 1 '!$A$16:$A$27</definedName>
    <definedName name="PLAYERVALUE">_xlfn.LAMBDA(_xlpm.goals,_xlpm.assists,_xlpm.salary,(_xlpm.goals*2+_xlpm.assists)*1000000/_xlpm.salary)</definedName>
    <definedName name="Position">'Section 1 '!$B$16:$B$27</definedName>
    <definedName name="RedCards">'Section 1 '!$H$16:$H$27</definedName>
    <definedName name="Revenue">'Section 2'!$I$15:$I$22</definedName>
    <definedName name="Salary">'Section 1 '!$I$16:$I$27</definedName>
    <definedName name="Stadium">'Section 2'!$E$15:$E$22</definedName>
    <definedName name="Team_ID">'Section 2'!$A$15:$A$22</definedName>
    <definedName name="Team_Name">'Section 2'!$C$15:$C$22</definedName>
    <definedName name="Ticket_Price">'Section 2'!$G$15:$G$22</definedName>
    <definedName name="YellowCards">'Section 1 '!$G$16:$G$27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4" l="1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I29" i="4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P26" i="3" a="1"/>
  <c r="P26" i="3" s="1"/>
  <c r="P25" i="3" a="1"/>
  <c r="P25" i="3" s="1"/>
  <c r="P24" i="3"/>
  <c r="P24" i="3" a="1"/>
  <c r="P23" i="3" a="1"/>
  <c r="P23" i="3" s="1"/>
  <c r="P22" i="3" a="1"/>
  <c r="P22" i="3" s="1"/>
  <c r="P21" i="3" a="1"/>
  <c r="P21" i="3" s="1"/>
  <c r="P20" i="3" a="1"/>
  <c r="P20" i="3" s="1"/>
  <c r="P19" i="3" a="1"/>
  <c r="P19" i="3" s="1"/>
  <c r="P18" i="3" a="1"/>
  <c r="P18" i="3" s="1"/>
  <c r="P17" i="3" a="1"/>
  <c r="P17" i="3"/>
  <c r="O26" i="3"/>
  <c r="O25" i="3"/>
  <c r="O24" i="3"/>
  <c r="O23" i="3"/>
  <c r="O22" i="3"/>
  <c r="O21" i="3"/>
  <c r="O20" i="3"/>
  <c r="O19" i="3"/>
  <c r="O18" i="3"/>
  <c r="O17" i="3"/>
  <c r="G26" i="3"/>
  <c r="H26" i="3" s="1"/>
  <c r="I26" i="3" s="1"/>
  <c r="G25" i="3"/>
  <c r="H25" i="3" s="1"/>
  <c r="I25" i="3" s="1"/>
  <c r="G24" i="3"/>
  <c r="H24" i="3" s="1"/>
  <c r="I24" i="3" s="1"/>
  <c r="G23" i="3"/>
  <c r="G22" i="3"/>
  <c r="G21" i="3"/>
  <c r="J21" i="3" s="1"/>
  <c r="G20" i="3"/>
  <c r="G19" i="3"/>
  <c r="G18" i="3"/>
  <c r="J18" i="3" s="1"/>
  <c r="G17" i="3"/>
  <c r="J24" i="3"/>
  <c r="J23" i="3"/>
  <c r="J22" i="3"/>
  <c r="H20" i="3"/>
  <c r="I20" i="3" s="1"/>
  <c r="H19" i="3"/>
  <c r="I19" i="3" s="1"/>
  <c r="H18" i="3"/>
  <c r="I18" i="3" s="1"/>
  <c r="J17" i="3"/>
  <c r="M26" i="3"/>
  <c r="M25" i="3"/>
  <c r="M24" i="3"/>
  <c r="M23" i="3"/>
  <c r="M22" i="3"/>
  <c r="M21" i="3"/>
  <c r="M20" i="3"/>
  <c r="M19" i="3"/>
  <c r="M18" i="3"/>
  <c r="M17" i="3"/>
  <c r="L26" i="3"/>
  <c r="L25" i="3"/>
  <c r="L24" i="3"/>
  <c r="L23" i="3"/>
  <c r="L22" i="3"/>
  <c r="L21" i="3"/>
  <c r="L20" i="3"/>
  <c r="L19" i="3"/>
  <c r="L18" i="3"/>
  <c r="L17" i="3"/>
  <c r="K26" i="3"/>
  <c r="K25" i="3"/>
  <c r="K24" i="3"/>
  <c r="K23" i="3"/>
  <c r="K22" i="3"/>
  <c r="K21" i="3"/>
  <c r="K20" i="3"/>
  <c r="N20" i="3" s="1"/>
  <c r="K19" i="3"/>
  <c r="N19" i="3" s="1"/>
  <c r="K18" i="3"/>
  <c r="J26" i="3"/>
  <c r="J25" i="3"/>
  <c r="J20" i="3"/>
  <c r="J19" i="3"/>
  <c r="H23" i="3"/>
  <c r="I23" i="3" s="1"/>
  <c r="H22" i="3"/>
  <c r="I22" i="3" s="1"/>
  <c r="H21" i="3"/>
  <c r="I21" i="3" s="1"/>
  <c r="E50" i="2" a="1"/>
  <c r="E50" i="2" s="1"/>
  <c r="E49" i="2" a="1"/>
  <c r="E49" i="2"/>
  <c r="E48" i="2" a="1"/>
  <c r="E48" i="2" s="1"/>
  <c r="E47" i="2" a="1"/>
  <c r="E47" i="2" s="1"/>
  <c r="H32" i="2" a="1"/>
  <c r="H32" i="2" s="1"/>
  <c r="E32" i="2" a="1"/>
  <c r="E32" i="2" s="1"/>
  <c r="B32" i="2" a="1"/>
  <c r="B32" i="2" s="1"/>
  <c r="J22" i="2"/>
  <c r="J21" i="2"/>
  <c r="J20" i="2"/>
  <c r="J19" i="2"/>
  <c r="J18" i="2"/>
  <c r="J17" i="2"/>
  <c r="J16" i="2"/>
  <c r="J15" i="2"/>
  <c r="I22" i="2"/>
  <c r="I21" i="2"/>
  <c r="I20" i="2"/>
  <c r="I19" i="2"/>
  <c r="I18" i="2"/>
  <c r="I17" i="2"/>
  <c r="I16" i="2"/>
  <c r="I15" i="2"/>
  <c r="H22" i="2"/>
  <c r="H21" i="2"/>
  <c r="H20" i="2"/>
  <c r="H19" i="2"/>
  <c r="H18" i="2"/>
  <c r="H17" i="2"/>
  <c r="H16" i="2"/>
  <c r="H15" i="2"/>
  <c r="G22" i="2"/>
  <c r="G21" i="2"/>
  <c r="G20" i="2"/>
  <c r="G19" i="2"/>
  <c r="G18" i="2"/>
  <c r="G17" i="2"/>
  <c r="G16" i="2"/>
  <c r="G15" i="2"/>
  <c r="F22" i="2"/>
  <c r="F21" i="2"/>
  <c r="F20" i="2"/>
  <c r="F19" i="2"/>
  <c r="F18" i="2"/>
  <c r="F17" i="2"/>
  <c r="F16" i="2"/>
  <c r="F15" i="2"/>
  <c r="E22" i="2"/>
  <c r="E21" i="2"/>
  <c r="E20" i="2"/>
  <c r="E19" i="2"/>
  <c r="E18" i="2"/>
  <c r="E17" i="2"/>
  <c r="E16" i="2"/>
  <c r="E15" i="2"/>
  <c r="D22" i="2"/>
  <c r="D21" i="2"/>
  <c r="D20" i="2"/>
  <c r="D19" i="2"/>
  <c r="D18" i="2"/>
  <c r="D17" i="2"/>
  <c r="D16" i="2"/>
  <c r="D15" i="2"/>
  <c r="C22" i="2"/>
  <c r="C21" i="2"/>
  <c r="C20" i="2"/>
  <c r="C19" i="2"/>
  <c r="C18" i="2"/>
  <c r="C17" i="2"/>
  <c r="C16" i="2"/>
  <c r="C15" i="2"/>
  <c r="U27" i="1" a="1"/>
  <c r="U27" i="1" s="1"/>
  <c r="U26" i="1" a="1"/>
  <c r="U26" i="1" s="1"/>
  <c r="U25" i="1" a="1"/>
  <c r="U25" i="1" s="1"/>
  <c r="U24" i="1" a="1"/>
  <c r="U24" i="1" s="1"/>
  <c r="U23" i="1" a="1"/>
  <c r="U23" i="1" s="1"/>
  <c r="U22" i="1" a="1"/>
  <c r="U22" i="1" s="1"/>
  <c r="U21" i="1" a="1"/>
  <c r="U21" i="1" s="1"/>
  <c r="U20" i="1" a="1"/>
  <c r="U20" i="1" s="1"/>
  <c r="U19" i="1" a="1"/>
  <c r="U19" i="1" s="1"/>
  <c r="U18" i="1" a="1"/>
  <c r="U18" i="1" s="1"/>
  <c r="U17" i="1" a="1"/>
  <c r="U17" i="1" s="1"/>
  <c r="U16" i="1" a="1"/>
  <c r="U16" i="1" s="1"/>
  <c r="T27" i="1"/>
  <c r="T26" i="1"/>
  <c r="T25" i="1"/>
  <c r="T24" i="1"/>
  <c r="T23" i="1"/>
  <c r="T22" i="1"/>
  <c r="T21" i="1"/>
  <c r="T20" i="1"/>
  <c r="T19" i="1"/>
  <c r="T18" i="1"/>
  <c r="T17" i="1"/>
  <c r="T16" i="1"/>
  <c r="S27" i="1"/>
  <c r="S26" i="1"/>
  <c r="S25" i="1"/>
  <c r="S24" i="1"/>
  <c r="S23" i="1"/>
  <c r="S22" i="1"/>
  <c r="S21" i="1"/>
  <c r="S20" i="1"/>
  <c r="S19" i="1"/>
  <c r="S18" i="1"/>
  <c r="S17" i="1"/>
  <c r="S16" i="1"/>
  <c r="R27" i="1"/>
  <c r="R26" i="1"/>
  <c r="R25" i="1"/>
  <c r="R24" i="1"/>
  <c r="R23" i="1"/>
  <c r="R22" i="1"/>
  <c r="R21" i="1"/>
  <c r="R20" i="1"/>
  <c r="R19" i="1"/>
  <c r="R18" i="1"/>
  <c r="R17" i="1"/>
  <c r="R16" i="1"/>
  <c r="Q27" i="1"/>
  <c r="Q26" i="1"/>
  <c r="Q25" i="1"/>
  <c r="Q24" i="1"/>
  <c r="Q23" i="1"/>
  <c r="Q22" i="1"/>
  <c r="Q21" i="1"/>
  <c r="Q20" i="1"/>
  <c r="Q19" i="1"/>
  <c r="Q18" i="1"/>
  <c r="Q17" i="1"/>
  <c r="Q16" i="1"/>
  <c r="P27" i="1"/>
  <c r="P26" i="1"/>
  <c r="P25" i="1"/>
  <c r="P24" i="1"/>
  <c r="P23" i="1"/>
  <c r="P22" i="1"/>
  <c r="P21" i="1"/>
  <c r="P20" i="1"/>
  <c r="P19" i="1"/>
  <c r="P18" i="1"/>
  <c r="P17" i="1"/>
  <c r="P16" i="1"/>
  <c r="O27" i="1"/>
  <c r="O26" i="1"/>
  <c r="O25" i="1"/>
  <c r="O24" i="1"/>
  <c r="O23" i="1"/>
  <c r="O22" i="1"/>
  <c r="O21" i="1"/>
  <c r="O20" i="1"/>
  <c r="O19" i="1"/>
  <c r="O18" i="1"/>
  <c r="O17" i="1"/>
  <c r="O16" i="1"/>
  <c r="N27" i="1"/>
  <c r="N26" i="1"/>
  <c r="N25" i="1"/>
  <c r="N24" i="1"/>
  <c r="N23" i="1"/>
  <c r="N22" i="1"/>
  <c r="N21" i="1"/>
  <c r="N20" i="1"/>
  <c r="N19" i="1"/>
  <c r="N18" i="1"/>
  <c r="N17" i="1"/>
  <c r="N16" i="1"/>
  <c r="M27" i="1"/>
  <c r="M26" i="1"/>
  <c r="M25" i="1"/>
  <c r="M24" i="1"/>
  <c r="M23" i="1"/>
  <c r="M22" i="1"/>
  <c r="M21" i="1"/>
  <c r="M20" i="1"/>
  <c r="M19" i="1"/>
  <c r="M18" i="1"/>
  <c r="M17" i="1"/>
  <c r="M16" i="1"/>
  <c r="L27" i="1"/>
  <c r="L26" i="1"/>
  <c r="L25" i="1"/>
  <c r="L24" i="1"/>
  <c r="L23" i="1"/>
  <c r="L22" i="1"/>
  <c r="L21" i="1"/>
  <c r="L20" i="1"/>
  <c r="L19" i="1"/>
  <c r="L18" i="1"/>
  <c r="L17" i="1"/>
  <c r="L16" i="1"/>
  <c r="Q21" i="4"/>
  <c r="O22" i="4"/>
  <c r="F16" i="5" s="1"/>
  <c r="B41" i="3"/>
  <c r="E16" i="5" s="1"/>
  <c r="D40" i="3"/>
  <c r="D16" i="5"/>
  <c r="K51" i="2"/>
  <c r="I51" i="2"/>
  <c r="C16" i="5"/>
  <c r="Q14" i="4"/>
  <c r="Q20" i="4"/>
  <c r="Q19" i="4"/>
  <c r="Q18" i="4"/>
  <c r="Q17" i="4"/>
  <c r="Q16" i="4"/>
  <c r="Q15" i="4"/>
  <c r="D39" i="3"/>
  <c r="D38" i="3"/>
  <c r="D37" i="3"/>
  <c r="D36" i="3"/>
  <c r="D35" i="3"/>
  <c r="D34" i="3"/>
  <c r="D33" i="3"/>
  <c r="D32" i="3"/>
  <c r="D31" i="3"/>
  <c r="P12" i="2"/>
  <c r="P10" i="2"/>
  <c r="P9" i="2"/>
  <c r="X14" i="1"/>
  <c r="Z13" i="1"/>
  <c r="Z12" i="1"/>
  <c r="Z11" i="1"/>
  <c r="Z10" i="1"/>
  <c r="Z9" i="1"/>
  <c r="Z8" i="1"/>
  <c r="Z7" i="1"/>
  <c r="Z6" i="1"/>
  <c r="Z5" i="1"/>
  <c r="Z4" i="1"/>
  <c r="Z3" i="1"/>
  <c r="K50" i="2"/>
  <c r="P8" i="2"/>
  <c r="K49" i="2"/>
  <c r="K48" i="2"/>
  <c r="K47" i="2"/>
  <c r="P11" i="2"/>
  <c r="P7" i="2"/>
  <c r="P6" i="2"/>
  <c r="P5" i="2"/>
  <c r="P4" i="2"/>
  <c r="P3" i="2"/>
  <c r="Q22" i="4" l="1"/>
  <c r="N21" i="3"/>
  <c r="N23" i="3"/>
  <c r="N25" i="3"/>
  <c r="N26" i="3"/>
  <c r="N22" i="3"/>
  <c r="N24" i="3"/>
  <c r="N18" i="3"/>
  <c r="H17" i="3"/>
  <c r="I17" i="3" s="1"/>
  <c r="K17" i="3"/>
  <c r="N17" i="3" s="1"/>
  <c r="D41" i="3"/>
  <c r="Z14" i="1"/>
  <c r="C17" i="5" s="1"/>
  <c r="E17" i="5"/>
  <c r="F17" i="5"/>
  <c r="D17" i="5"/>
  <c r="G16" i="5"/>
  <c r="G17" i="5" l="1"/>
  <c r="G18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<sst xmlns="http://schemas.openxmlformats.org/spreadsheetml/2006/main" count="448" uniqueCount="254">
  <si>
    <t>0) Use NAME MANAGER: Name columns PlayerName, Goals, Assists, Matches, Salary, MarketValue, YellowCards, RedCards, Position</t>
  </si>
  <si>
    <t>1) TOTAL POINTS = Goals*2 + Assists*1</t>
  </si>
  <si>
    <t>2) POINTS PER MATCH = Total Points / Matches (2 decimals)</t>
  </si>
  <si>
    <t>Player Name</t>
  </si>
  <si>
    <t>Position</t>
  </si>
  <si>
    <t>Age</t>
  </si>
  <si>
    <t>Goals</t>
  </si>
  <si>
    <t>Assists</t>
  </si>
  <si>
    <t>Matches</t>
  </si>
  <si>
    <t>Yellow Cards</t>
  </si>
  <si>
    <t>Red Cards</t>
  </si>
  <si>
    <t>Salary ($)</t>
  </si>
  <si>
    <t>Market Value ($)</t>
  </si>
  <si>
    <t>Contract End</t>
  </si>
  <si>
    <t>Total Points</t>
  </si>
  <si>
    <t>Points/Match</t>
  </si>
  <si>
    <t>Discipline Score</t>
  </si>
  <si>
    <t>Performance Rating</t>
  </si>
  <si>
    <t>Value Per Point</t>
  </si>
  <si>
    <t>Cost Per Point</t>
  </si>
  <si>
    <t>Contract Status</t>
  </si>
  <si>
    <t>Investment Priority</t>
  </si>
  <si>
    <t>Lionel Martinez</t>
  </si>
  <si>
    <t>FW</t>
  </si>
  <si>
    <t>Cristian Rodriguez</t>
  </si>
  <si>
    <t>MF</t>
  </si>
  <si>
    <t>Kevin Anderson</t>
  </si>
  <si>
    <t>Robert Silva</t>
  </si>
  <si>
    <t>Mohamed Hassan</t>
  </si>
  <si>
    <t>DF</t>
  </si>
  <si>
    <t>James Wilson</t>
  </si>
  <si>
    <t>Luis Fernandez</t>
  </si>
  <si>
    <t>Marco Rossi</t>
  </si>
  <si>
    <t>Paulo Santos</t>
  </si>
  <si>
    <t>Erik Johansson</t>
  </si>
  <si>
    <t>Diego Lopez</t>
  </si>
  <si>
    <t>GK</t>
  </si>
  <si>
    <t>Antoine Dubois</t>
  </si>
  <si>
    <t>Team ID</t>
  </si>
  <si>
    <t>Avg Attendance</t>
  </si>
  <si>
    <t>Team Name</t>
  </si>
  <si>
    <t>League</t>
  </si>
  <si>
    <t>Stadium</t>
  </si>
  <si>
    <t>Capacity</t>
  </si>
  <si>
    <t>Ticket Price</t>
  </si>
  <si>
    <t>Coach Name</t>
  </si>
  <si>
    <t>Attendance %</t>
  </si>
  <si>
    <t>T001</t>
  </si>
  <si>
    <t>T002</t>
  </si>
  <si>
    <t>T003</t>
  </si>
  <si>
    <t>T004</t>
  </si>
  <si>
    <t>T005</t>
  </si>
  <si>
    <t>T006</t>
  </si>
  <si>
    <t>T007</t>
  </si>
  <si>
    <t>T008</t>
  </si>
  <si>
    <t>REFERENCE TABLES</t>
  </si>
  <si>
    <t>Coach</t>
  </si>
  <si>
    <t>Real Madrid</t>
  </si>
  <si>
    <t>La Liga</t>
  </si>
  <si>
    <t>Santiago Bernabéu</t>
  </si>
  <si>
    <t>Ancelotti</t>
  </si>
  <si>
    <t>FC Barcelona</t>
  </si>
  <si>
    <t>Camp Nou</t>
  </si>
  <si>
    <t>Premier League</t>
  </si>
  <si>
    <t>Xavi</t>
  </si>
  <si>
    <t>Manchester United</t>
  </si>
  <si>
    <t>Old Trafford</t>
  </si>
  <si>
    <t>Bundesliga</t>
  </si>
  <si>
    <t>Ten Hag</t>
  </si>
  <si>
    <t>Bayern Munich</t>
  </si>
  <si>
    <t>Allianz Arena</t>
  </si>
  <si>
    <t>Ligue 1</t>
  </si>
  <si>
    <t>Tuchel</t>
  </si>
  <si>
    <t>Paris SG</t>
  </si>
  <si>
    <t>Parc des Princes</t>
  </si>
  <si>
    <t>Serie A</t>
  </si>
  <si>
    <t>Enrique</t>
  </si>
  <si>
    <t>Liverpool</t>
  </si>
  <si>
    <t>Anfield</t>
  </si>
  <si>
    <t>Klopp</t>
  </si>
  <si>
    <t>Juventus</t>
  </si>
  <si>
    <t>Allianz Stadium</t>
  </si>
  <si>
    <t>Allegri</t>
  </si>
  <si>
    <t>Dortmund</t>
  </si>
  <si>
    <t>Signal Iduna Park</t>
  </si>
  <si>
    <t>Terzic</t>
  </si>
  <si>
    <t>SECTION 3: TEXT FUNCTIONS &amp; DATA CLEANING</t>
  </si>
  <si>
    <t>7) FULL NAME: 'LastName, FirstName' in PROPER case</t>
  </si>
  <si>
    <t>8) USERNAME: first3(lastname)+last2(year)+number (lowercase) Ex:'mar20001'</t>
  </si>
  <si>
    <t>Player ID (Messy)</t>
  </si>
  <si>
    <t>First Name</t>
  </si>
  <si>
    <t>Last Name</t>
  </si>
  <si>
    <t>Birth Date</t>
  </si>
  <si>
    <t>Clean ID</t>
  </si>
  <si>
    <t>Team Code</t>
  </si>
  <si>
    <t>Email</t>
  </si>
  <si>
    <t>Reg Year</t>
  </si>
  <si>
    <t>Player Num</t>
  </si>
  <si>
    <t>Full Name</t>
  </si>
  <si>
    <t>Username</t>
  </si>
  <si>
    <t xml:space="preserve">REG2020001 @RealM​adrid  </t>
  </si>
  <si>
    <t>LIONEL</t>
  </si>
  <si>
    <t>martinez</t>
  </si>
  <si>
    <t xml:space="preserve"> REG2019000@ Barcelona﻿ </t>
  </si>
  <si>
    <t>cristian</t>
  </si>
  <si>
    <t>RODRIGUEZ</t>
  </si>
  <si>
    <t>REG2021156  @ManUtd‌</t>
  </si>
  <si>
    <t>Kevin</t>
  </si>
  <si>
    <t>anderson</t>
  </si>
  <si>
    <t xml:space="preserve"> REG2018234@Bay​ern  </t>
  </si>
  <si>
    <t>ROBERT</t>
  </si>
  <si>
    <t>silva</t>
  </si>
  <si>
    <t xml:space="preserve">  REG2022089 @PSG﻿</t>
  </si>
  <si>
    <t>mohamed</t>
  </si>
  <si>
    <t>Hassan</t>
  </si>
  <si>
    <t xml:space="preserve">REG2020045@  Liverpool </t>
  </si>
  <si>
    <t>James</t>
  </si>
  <si>
    <t>WILSON</t>
  </si>
  <si>
    <t xml:space="preserve"> REG2021078 @Juventus‌ </t>
  </si>
  <si>
    <t>LUIS</t>
  </si>
  <si>
    <t>fernandez</t>
  </si>
  <si>
    <t xml:space="preserve">REG2019167@Dor​tmund  </t>
  </si>
  <si>
    <t>marco</t>
  </si>
  <si>
    <t>Rossi</t>
  </si>
  <si>
    <t xml:space="preserve">REG2023234@RealMadrid </t>
  </si>
  <si>
    <t>paulo</t>
  </si>
  <si>
    <t>SANTOS</t>
  </si>
  <si>
    <t xml:space="preserve">  REG2020000 @Bayern﻿</t>
  </si>
  <si>
    <t>ERIK</t>
  </si>
  <si>
    <t>johansson</t>
  </si>
  <si>
    <t>Match ID</t>
  </si>
  <si>
    <t>Date</t>
  </si>
  <si>
    <t>Home Team</t>
  </si>
  <si>
    <t>Away Team</t>
  </si>
  <si>
    <t>Home Goals</t>
  </si>
  <si>
    <t>Away Goals</t>
  </si>
  <si>
    <t>Attendance</t>
  </si>
  <si>
    <t>Goal Diff</t>
  </si>
  <si>
    <t>M001</t>
  </si>
  <si>
    <t>Bayern</t>
  </si>
  <si>
    <t>Barcelona</t>
  </si>
  <si>
    <t>M002</t>
  </si>
  <si>
    <t>Man United</t>
  </si>
  <si>
    <t>M003</t>
  </si>
  <si>
    <t>M004</t>
  </si>
  <si>
    <t>M005</t>
  </si>
  <si>
    <t>PSG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</si>
  <si>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</si>
  <si>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</si>
  <si>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</si>
  <si>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</si>
  <si>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</si>
  <si>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</si>
  <si>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</si>
  <si>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</si>
  <si>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</si>
  <si>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</si>
  <si>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</si>
  <si>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</si>
  <si>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</si>
  <si>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</si>
  <si>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</si>
  <si>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</si>
  <si>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</si>
  <si>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</si>
  <si>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</si>
  <si>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</si>
  <si>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5) VALUE PER POINT = MarketValue / Total Points - Use  No Goals/Assists' if error</t>
  </si>
  <si>
    <t>6) COST PER POINT = Salary / Total Points - Use 'No data' if error</t>
  </si>
  <si>
    <t>7) CONTRACT STATUS -  with YEAR(ContractEnd): &lt;=2025:'Urgent', =2026:'Soon', &gt;=2027:'Long Term'</t>
  </si>
  <si>
    <t xml:space="preserve">SECTION 1: PLAYER PERFORMANCE </t>
  </si>
  <si>
    <t>3) DISCIPLINE SCORE = 10 - (YellowCards*0.3 + RedCards*2), the maximun score is 10 and the min must be 0</t>
  </si>
  <si>
    <t>4) PERFORMANCE RATING - using the points/math insert the following &gt;=2:'Elite', &gt;=1.5:'Excellent', &gt;=1:'Good', &gt;=0.5:'Average', other:'Below Average'</t>
  </si>
  <si>
    <t>total</t>
  </si>
  <si>
    <t>max</t>
  </si>
  <si>
    <t>score</t>
  </si>
  <si>
    <t>TOTAL</t>
  </si>
  <si>
    <t>Maximun</t>
  </si>
  <si>
    <t>Grade</t>
  </si>
  <si>
    <t>8) INVESTMENT PRIORITY -  use this combined criterias(Rating='Elite',Age&lt;28):'A', AND(Rating='Excellent',Age&lt;30):'B', Rating='Good':'C', other:'Monitor'</t>
  </si>
  <si>
    <t>SECTION 2</t>
  </si>
  <si>
    <t>1) Team/League/Stadium</t>
  </si>
  <si>
    <t>3)Ticket price ( USE MATCH/INDEX)</t>
  </si>
  <si>
    <t>Revenue</t>
  </si>
  <si>
    <t>use name manager and the functions suggested if so)</t>
  </si>
  <si>
    <t>4)  Coach/Revenue=ave attendance*ticket price</t>
  </si>
  <si>
    <t>5)Attendance %average attandance/capacity</t>
  </si>
  <si>
    <t>7) Using the previous drop-downs highlight the corresponding cell in the table</t>
  </si>
  <si>
    <t>2)Capacity  (USE MATCH, INDEX)</t>
  </si>
  <si>
    <t>Section1</t>
  </si>
  <si>
    <t>Section2</t>
  </si>
  <si>
    <t>Section3</t>
  </si>
  <si>
    <t>Section4</t>
  </si>
  <si>
    <t>1) remove spaces/invisible chars</t>
  </si>
  <si>
    <t>2) EXTRACT TEAM: Get team after @</t>
  </si>
  <si>
    <t xml:space="preserve">3) EMAIL: playerid@teamcode.com </t>
  </si>
  <si>
    <t>4) REG YEAR: Extract 4 digits after 'REG'</t>
  </si>
  <si>
    <t>5) PLAYER NUM: Extract 3 digits after year</t>
  </si>
  <si>
    <t>6) AGE: From Birth Date  to today</t>
  </si>
  <si>
    <t>SECTION 4: TABLES &amp; CONDITIONAL FORMATTING: use tables in this section</t>
  </si>
  <si>
    <t>Result home</t>
  </si>
  <si>
    <t>Result away</t>
  </si>
  <si>
    <t>9) LET FORMULA: Using LET, define TotalPts=Goals*2+Assists, AvgPts=TotalPts/Matches, then return IF(AvgPts&gt;=1.5,"Star","Regular") — all in ONE formula</t>
  </si>
  <si>
    <t>10) LAMBDA: Create a named LAMBDA 'PLAYERVALUE' that takes (goals,assists,salary) and returns (goals*2+assists)*1000000/salary. Then use it for each player.</t>
  </si>
  <si>
    <t>LET Star/Regular</t>
  </si>
  <si>
    <t>LAMBDA Value</t>
  </si>
  <si>
    <t>8) FILTER+CHOOSECOLS: Use FILTER to get teams with Att%&gt;60%, then CHOOSECOLS to show only Team Name and Revenue columns</t>
  </si>
  <si>
    <t>9) LET+FILTER: Using LET, define avgRev=AVERAGE(Revenue), then FILTER teams where Revenue &gt; avgRev, return Team Name &amp; Revenue</t>
  </si>
  <si>
    <t>10) VSTACK: Stack La Liga teams ON TOP OF Bundesliga teams (Team Name &amp; League only) using VSTACK+FILTER+CHOOSECOLS</t>
  </si>
  <si>
    <t>11) Total revenue WHERE Att%&gt;60% AND Capacity&gt;50000</t>
  </si>
  <si>
    <t>12) What % of total attendance is Premier League?</t>
  </si>
  <si>
    <t>13) Count teams WHERE Price&gt;AVG(all prices) AND Att%&gt;AVG(all att%)</t>
  </si>
  <si>
    <t>14) Complex - Avg Capacity for teams with Revenue&gt;$3M in 'La Liga' OR 'Bundesliga'</t>
  </si>
  <si>
    <t>9) LET+TEXTJOIN: Using LET, define fn=PROPER(FirstName), ln=PROPER(LastName), return TEXTJOIN(" ",TRUE,fn,ln,"(",Position,")") → e.g. 'Lionel Martinez (FW)'</t>
  </si>
  <si>
    <t>LET Display</t>
  </si>
  <si>
    <t>LAMBDA Clean</t>
  </si>
  <si>
    <t>Q6 Answer:</t>
  </si>
  <si>
    <t>6) create the two drop-downs ( one with the team name and the other with (League/Stadium/Capacity/Ticket price/Coach name/revenue/Attendance%)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</si>
  <si>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</si>
  <si>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</si>
  <si>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</si>
  <si>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</si>
  <si>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</si>
  <si>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</si>
  <si>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</si>
  <si>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</si>
  <si>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</si>
  <si>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</si>
  <si>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ANSWER AREA FOR Q6 – Q10</t>
  </si>
  <si>
    <t>Q6) Drop-down 1 → Team name:</t>
  </si>
  <si>
    <t>Q6) Drop-down 2 → Column:</t>
  </si>
  <si>
    <t>Q8) FILTER+CHOOSECOLS → Enter formula in B32:</t>
  </si>
  <si>
    <t>Q9) LET+FILTER → Enter formula in E32:</t>
  </si>
  <si>
    <t>Q10) VSTACK → Enter formula in H32:</t>
  </si>
  <si>
    <t>COMPLEX MULTI-CRITERIA ANALYSIS (Q11–Q14) — Answer in N:</t>
  </si>
  <si>
    <t>2) Add 3 calculated columns to the table: GoalDiff (Home–Away), Result Home (Win/Loss/Draw based on GoalDiff), Result Away (opposite)</t>
  </si>
  <si>
    <t>3) Apply Color Scales conditional formatting on the Attendance column (green=high, red=low)</t>
  </si>
  <si>
    <t>4) Apply Icon Sets on Result Home and Result Away columns: ✔ for Win, ✖ for Loss, ➖ for Draw</t>
  </si>
  <si>
    <t>5) Insert a Slicer for the Home Team column</t>
  </si>
  <si>
    <t>6) Using AVERAGEIFS, calculate: average Attendance where Home Team='Bayern', Result Home='Win', and Home Goals&gt;1. Answer in J8 →</t>
  </si>
  <si>
    <t>Q7) Team drop-down ↓</t>
  </si>
  <si>
    <t>Q8) Column drop-down ↓</t>
  </si>
  <si>
    <t>Q7) Using drop-downs B26 (Team) &amp; D26 (Column), apply Conditional Formatting on C15:J22 so the cell at the intersection of the selected team's row and selected column is highlighted.</t>
  </si>
  <si>
    <t>→ Hint: use a formula-based CF rule like =AND($C15=B$26, C$14=D$26). No answer cell needed — the CF itself is the answer.</t>
  </si>
  <si>
    <t>1) Convert A12:G37 to a TABLE named 'MatchResults' (columns A–G contain the source data)</t>
  </si>
  <si>
    <t>7) DYNAMIC ROW HIGHLIGHT: Create a drop-down in L13 listing all unique Home Team names. Then apply a Conditional Formatting rule on the data range A13:J37 using a formula so that when a team is selected, the ENTIRE ROW of every match where that team plays at home is highlighted in light blue.</t>
  </si>
  <si>
    <t>8) DYNAMIC COLUMN HIGHLIGHT: Create a drop-down in L16 listing the column headers (Date, Home Team, Away Team, etc.). Then apply a Conditional Formatting rule on A12:J37 using a formula so that when a header is selected, the ENTIRE COLUMN under that header is highlighted in light green.</t>
  </si>
  <si>
    <t>Q#</t>
  </si>
  <si>
    <t>Q0</t>
  </si>
  <si>
    <t>Q11</t>
  </si>
  <si>
    <t>Q12</t>
  </si>
  <si>
    <t>Q13</t>
  </si>
  <si>
    <t>Q14</t>
  </si>
  <si>
    <t>10) LAMBDA: In Name Manager, create a named LAMBDA called 'CLEANID' with one parameter (a cell reference to a Player ID in column A). It should return TRIM(CLEAN(SUBSTITUTE(cell,CHAR(8203),""))). Then in the LAMBDA Clean column (P), call =CLEANID(A17) for each player to remove spaces, invisible chars &amp; zero-width spaces.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</si>
</sst>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m/dd/yyyy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66CC"/>
      <name val="Calibri"/>
      <family val="2"/>
    </font>
    <font>
      <b/>
      <sz val="9"/>
      <color rgb="FFFF0000"/>
      <name val="Calibri"/>
      <family val="2"/>
    </font>
    <font>
      <b/>
      <sz val="11"/>
      <color rgb="FF0000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9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rgb="FF0066CC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</font>
    <font>
      <b/>
      <sz val="10"/>
      <color rgb="FF0066CC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F6600"/>
      </patternFill>
    </fill>
    <fill>
      <patternFill patternType="solid">
        <fgColor rgb="FFE7E6E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3CC"/>
      </left>
      <right style="thin">
        <color rgb="FF0033CC"/>
      </right>
      <top style="thin">
        <color rgb="FF0033CC"/>
      </top>
      <bottom style="thin">
        <color rgb="FF0033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33CC"/>
      </left>
      <right/>
      <top style="thin">
        <color rgb="FF0033CC"/>
      </top>
      <bottom style="thin">
        <color rgb="FF0033CC"/>
      </bottom>
      <diagonal/>
    </border>
    <border>
      <left style="thin">
        <color rgb="FF0033CC"/>
      </left>
      <right/>
      <top style="thin">
        <color rgb="FF0033CC"/>
      </top>
      <bottom/>
      <diagonal/>
    </border>
    <border>
      <left style="thin">
        <color rgb="FF0033CC"/>
      </left>
      <right style="thin">
        <color rgb="FF0033CC"/>
      </right>
      <top style="thin">
        <color rgb="FF0033CC"/>
      </top>
      <bottom/>
      <diagonal/>
    </border>
    <border>
      <left/>
      <right/>
      <top style="thin">
        <color rgb="FF0033C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33CC"/>
      </top>
      <bottom style="thin">
        <color rgb="FF0033CC"/>
      </bottom>
      <diagonal/>
    </border>
    <border>
      <left/>
      <right style="thin">
        <color rgb="FF0033CC"/>
      </right>
      <top style="thin">
        <color rgb="FF0033CC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9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0" fontId="8" fillId="5" borderId="0" xfId="0" applyFont="1" applyFill="1"/>
    <xf numFmtId="0" fontId="9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3" fontId="0" fillId="0" borderId="0" xfId="0" applyNumberFormat="1"/>
    <xf numFmtId="0" fontId="0" fillId="6" borderId="1" xfId="0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3" xfId="0" applyFill="1" applyBorder="1" applyAlignment="1">
      <alignment horizontal="center"/>
    </xf>
    <xf numFmtId="9" fontId="0" fillId="8" borderId="3" xfId="0" applyNumberFormat="1" applyFill="1" applyBorder="1" applyAlignment="1">
      <alignment horizontal="center"/>
    </xf>
    <xf numFmtId="9" fontId="0" fillId="8" borderId="0" xfId="1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/>
    <xf numFmtId="0" fontId="4" fillId="0" borderId="0" xfId="0" applyFont="1"/>
    <xf numFmtId="0" fontId="7" fillId="4" borderId="0" xfId="0" applyFont="1" applyFill="1" applyAlignment="1">
      <alignment horizontal="center"/>
    </xf>
    <xf numFmtId="0" fontId="14" fillId="0" borderId="0" xfId="0" applyFont="1"/>
    <xf numFmtId="0" fontId="0" fillId="6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9" fontId="0" fillId="8" borderId="5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9" fontId="0" fillId="8" borderId="0" xfId="0" applyNumberFormat="1" applyFill="1" applyBorder="1" applyAlignment="1">
      <alignment horizontal="center"/>
    </xf>
    <xf numFmtId="9" fontId="0" fillId="8" borderId="11" xfId="0" applyNumberFormat="1" applyFill="1" applyBorder="1" applyAlignment="1">
      <alignment horizontal="center"/>
    </xf>
    <xf numFmtId="9" fontId="0" fillId="8" borderId="10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12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6" borderId="4" xfId="0" applyFill="1" applyBorder="1" applyAlignment="1">
      <alignment horizontal="center"/>
    </xf>
    <xf numFmtId="0" fontId="9" fillId="12" borderId="0" xfId="0" applyFont="1" applyFill="1" applyAlignment="1">
      <alignment horizontal="center" vertical="center" wrapText="1"/>
    </xf>
    <xf numFmtId="0" fontId="11" fillId="8" borderId="0" xfId="0" applyFont="1" applyFill="1"/>
    <xf numFmtId="0" fontId="17" fillId="13" borderId="0" xfId="0" applyFont="1" applyFill="1" applyAlignment="1">
      <alignment horizontal="center"/>
    </xf>
    <xf numFmtId="0" fontId="12" fillId="0" borderId="0" xfId="0" applyFont="1" applyFill="1" applyBorder="1"/>
    <xf numFmtId="0" fontId="12" fillId="0" borderId="15" xfId="0" applyFont="1" applyBorder="1" applyAlignment="1">
      <alignment horizontal="left"/>
    </xf>
    <xf numFmtId="0" fontId="12" fillId="0" borderId="0" xfId="0" applyFont="1" applyBorder="1"/>
    <xf numFmtId="0" fontId="12" fillId="0" borderId="16" xfId="0" applyFont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15" xfId="0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6" fillId="15" borderId="0" xfId="0" applyFont="1" applyFill="1"/>
    <xf numFmtId="9" fontId="16" fillId="8" borderId="11" xfId="0" applyNumberFormat="1" applyFont="1" applyFill="1" applyBorder="1" applyAlignment="1">
      <alignment horizontal="center"/>
    </xf>
    <xf numFmtId="0" fontId="14" fillId="11" borderId="19" xfId="0" applyFont="1" applyFill="1" applyBorder="1" applyAlignment="1">
      <alignment horizontal="center"/>
    </xf>
    <xf numFmtId="9" fontId="15" fillId="10" borderId="18" xfId="0" applyNumberFormat="1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3" fillId="0" borderId="0" xfId="0" applyFont="1"/>
    <xf numFmtId="0" fontId="20" fillId="0" borderId="0" xfId="0" applyFont="1"/>
    <xf numFmtId="0" fontId="22" fillId="0" borderId="0" xfId="0" applyFont="1"/>
    <xf numFmtId="0" fontId="12" fillId="0" borderId="21" xfId="0" applyFont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18" fillId="15" borderId="0" xfId="0" applyFont="1" applyFill="1" applyAlignment="1">
      <alignment horizontal="center"/>
    </xf>
    <xf numFmtId="0" fontId="24" fillId="0" borderId="0" xfId="0" applyFont="1"/>
    <xf numFmtId="0" fontId="25" fillId="0" borderId="0" xfId="0" applyFont="1"/>
    <xf numFmtId="0" fontId="26" fillId="12" borderId="0" xfId="0" applyFont="1" applyFill="1" applyAlignment="1">
      <alignment horizontal="center"/>
    </xf>
    <xf numFmtId="0" fontId="12" fillId="14" borderId="20" xfId="0" applyFont="1" applyFill="1" applyBorder="1" applyAlignment="1">
      <alignment horizontal="center"/>
    </xf>
    <xf numFmtId="9" fontId="0" fillId="8" borderId="11" xfId="1" applyFont="1" applyFill="1" applyBorder="1" applyAlignment="1">
      <alignment horizontal="center"/>
    </xf>
    <xf numFmtId="3" fontId="0" fillId="8" borderId="0" xfId="0" applyNumberFormat="1" applyFill="1"/>
    <xf numFmtId="0" fontId="28" fillId="0" borderId="0" xfId="0" applyFont="1" applyAlignment="1">
      <alignment horizontal="center"/>
    </xf>
    <xf numFmtId="0" fontId="21" fillId="0" borderId="0" xfId="0" applyFont="1" applyAlignment="1"/>
    <xf numFmtId="0" fontId="20" fillId="0" borderId="0" xfId="0" applyFont="1" applyAlignment="1"/>
    <xf numFmtId="0" fontId="18" fillId="0" borderId="0" xfId="0" applyFont="1" applyAlignment="1"/>
    <xf numFmtId="0" fontId="13" fillId="0" borderId="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8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9" fontId="0" fillId="8" borderId="10" xfId="1" applyFont="1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9" fontId="0" fillId="8" borderId="9" xfId="0" applyNumberFormat="1" applyFill="1" applyBorder="1" applyAlignment="1">
      <alignment horizontal="center"/>
    </xf>
    <xf numFmtId="0" fontId="27" fillId="9" borderId="19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30" fillId="0" borderId="8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BDD7EE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165" formatCode="mm/dd/yyyy"/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0</xdr:rowOff>
    </xdr:from>
    <xdr:to>
      <xdr:col>7</xdr:col>
      <xdr:colOff>476250</xdr:colOff>
      <xdr:row>11</xdr:row>
      <xdr:rowOff>99363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8AA75-6ED9-4F1C-971A-74A2697C0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0"/>
          <a:ext cx="4143375" cy="21948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C8FC-EC40-4231-AC2E-F934ED94C2B0}" name="MatchResults" displayName="MatchResults" ref="A12:J37" totalsRowShown="0" headerRowDxfId="5">
  <autoFilter ref="A12:J37" xr:uid="{CF27C8FC-EC40-4231-AC2E-F934ED94C2B0}"/>
  <tableColumns count="10">
    <tableColumn id="1" xr3:uid="{9B4BD07F-67DF-45A6-A793-58EE0C61D2A6}" name="Match ID"/>
    <tableColumn id="2" xr3:uid="{997E9031-2C95-4A4A-B1C5-A5805BD53379}" name="Date" dataDxfId="7"/>
    <tableColumn id="3" xr3:uid="{DE056CB5-8188-49DF-B68F-62AC80D4BB4B}" name="Home Team"/>
    <tableColumn id="4" xr3:uid="{4E7C95E4-41E2-48EB-ACBC-6AC29EF7973A}" name="Away Team"/>
    <tableColumn id="5" xr3:uid="{FD859844-3087-4E14-9D5E-168191FEE08A}" name="Home Goals"/>
    <tableColumn id="6" xr3:uid="{60E71E5C-EFAE-4899-94C2-A556C5B7277B}" name="Away Goals"/>
    <tableColumn id="7" xr3:uid="{2E9EC16A-1FA2-402D-A4F5-286D8CD380C1}" name="Attendance" dataDxfId="6"/>
    <tableColumn id="8" xr3:uid="{A8BDC02C-7CAF-49D8-90EB-EEE5B89F50F7}" name="Goal Diff" dataDxfId="4">
      <calculatedColumnFormula>E13-F13</calculatedColumnFormula>
    </tableColumn>
    <tableColumn id="9" xr3:uid="{D998FC1A-A20D-4637-B5C5-0647AFD8E242}" name="Result home" dataDxfId="3">
      <calculatedColumnFormula>IF(H13&gt;0,"Win",IF(H13&lt;0,"Loss","Draw"))</calculatedColumnFormula>
    </tableColumn>
    <tableColumn id="10" xr3:uid="{E38A704E-A847-4D68-90F3-EF515676BE5B}" name="Result away" dataDxfId="2">
      <calculatedColumnFormula>IF(H13&lt;0,"Win",IF(H13&gt;0,"Loss","Draw"))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7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024679-5B30-47FB-B0D5-FC66A25BB62B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S9" sqref="S9"/>
    </sheetView>
  </sheetViews>
  <sheetFormatPr defaultRowHeight="15" x14ac:dyDescent="0.25"/>
  <cols>
    <col min="1" max="1" width="27.7109375" customWidth="1"/>
    <col min="2" max="2" width="8" customWidth="1"/>
    <col min="3" max="3" width="6" customWidth="1"/>
    <col min="4" max="6" width="7" customWidth="1"/>
    <col min="7" max="7" width="10" customWidth="1"/>
    <col min="8" max="8" width="8" customWidth="1"/>
    <col min="9" max="9" width="12" customWidth="1"/>
    <col min="10" max="10" width="13" customWidth="1"/>
    <col min="11" max="11" width="12" customWidth="1"/>
    <col min="12" max="13" width="10" customWidth="1"/>
    <col min="14" max="14" width="12" customWidth="1"/>
    <col min="15" max="15" width="13" customWidth="1"/>
    <col min="16" max="17" width="12" customWidth="1"/>
    <col min="18" max="18" width="13" customWidth="1"/>
    <col min="19" max="19" width="14" customWidth="1"/>
  </cols>
  <sheetData>
    <row r="1" spans="1:26" ht="24.95" customHeight="1" x14ac:dyDescent="0.25">
      <c r="A1" s="18" t="s">
        <v>170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6" x14ac:dyDescent="0.25">
      <c r="W2" s="76" t="s">
        <v>247</v>
      </c>
      <c r="X2" s="41" t="s">
        <v>174</v>
      </c>
      <c r="Z2" s="41" t="s">
        <v>175</v>
      </c>
    </row>
    <row r="3" spans="1:26" x14ac:dyDescent="0.25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W3" s="88" t="s">
        <v>248</v>
      </c>
      <c r="X3" s="27">
        <v>1</v>
      </c>
      <c r="Y3" s="70">
        <v>1</v>
      </c>
      <c r="Z3" s="28">
        <f>Y3*X3</f>
        <v>1</v>
      </c>
    </row>
    <row r="4" spans="1:26" x14ac:dyDescent="0.25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W4" s="88" t="s">
        <v>218</v>
      </c>
      <c r="X4" s="27">
        <v>1</v>
      </c>
      <c r="Y4" s="70">
        <v>1</v>
      </c>
      <c r="Z4" s="28">
        <f>Y4*X4</f>
        <v>1</v>
      </c>
    </row>
    <row r="5" spans="1:26" x14ac:dyDescent="0.25">
      <c r="A5" s="62" t="s">
        <v>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W5" s="88" t="s">
        <v>219</v>
      </c>
      <c r="X5" s="27">
        <v>2</v>
      </c>
      <c r="Y5" s="70">
        <v>1</v>
      </c>
      <c r="Z5" s="28">
        <f>Y5*X5</f>
        <v>2</v>
      </c>
    </row>
    <row r="6" spans="1:26" x14ac:dyDescent="0.25">
      <c r="A6" s="62" t="s">
        <v>171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W6" s="92" t="s">
        <v>220</v>
      </c>
      <c r="X6" s="27">
        <v>2</v>
      </c>
      <c r="Y6" s="70">
        <v>1</v>
      </c>
      <c r="Z6" s="28">
        <f>Y6*X6</f>
        <v>2</v>
      </c>
    </row>
    <row r="7" spans="1:26" x14ac:dyDescent="0.25">
      <c r="A7" s="62" t="s">
        <v>172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W7" s="92" t="s">
        <v>221</v>
      </c>
      <c r="X7" s="27">
        <v>2</v>
      </c>
      <c r="Y7" s="70">
        <v>1</v>
      </c>
      <c r="Z7" s="28">
        <f>Y7*X7</f>
        <v>2</v>
      </c>
    </row>
    <row r="8" spans="1:26" x14ac:dyDescent="0.25">
      <c r="A8" s="62" t="s">
        <v>167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W8" s="92" t="s">
        <v>222</v>
      </c>
      <c r="X8" s="27">
        <v>5</v>
      </c>
      <c r="Y8" s="70">
        <v>1</v>
      </c>
      <c r="Z8" s="28">
        <f>Y8*X8</f>
        <v>5</v>
      </c>
    </row>
    <row r="9" spans="1:26" x14ac:dyDescent="0.25">
      <c r="A9" s="62" t="s">
        <v>168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W9" s="92" t="s">
        <v>223</v>
      </c>
      <c r="X9" s="27">
        <v>2</v>
      </c>
      <c r="Y9" s="70">
        <v>1</v>
      </c>
      <c r="Z9" s="28">
        <f>Y9*X9</f>
        <v>2</v>
      </c>
    </row>
    <row r="10" spans="1:26" x14ac:dyDescent="0.25">
      <c r="A10" s="62" t="s">
        <v>169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W10" s="92" t="s">
        <v>224</v>
      </c>
      <c r="X10" s="27">
        <v>5</v>
      </c>
      <c r="Y10" s="70">
        <v>1</v>
      </c>
      <c r="Z10" s="28">
        <f>Y10*X10</f>
        <v>5</v>
      </c>
    </row>
    <row r="11" spans="1:26" x14ac:dyDescent="0.25">
      <c r="A11" s="62" t="s">
        <v>179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W11" s="92" t="s">
        <v>225</v>
      </c>
      <c r="X11" s="27">
        <v>5</v>
      </c>
      <c r="Y11" s="70">
        <v>1</v>
      </c>
      <c r="Z11" s="28">
        <f>Y11*X11</f>
        <v>5</v>
      </c>
    </row>
    <row r="12" spans="1:26" x14ac:dyDescent="0.25">
      <c r="A12" s="62" t="s">
        <v>202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W12" s="93" t="s">
        <v>226</v>
      </c>
      <c r="X12" s="27">
        <v>5</v>
      </c>
      <c r="Y12" s="70">
        <v>1</v>
      </c>
      <c r="Z12" s="28">
        <f>Y12*X12</f>
        <v>5</v>
      </c>
    </row>
    <row r="13" spans="1:26" x14ac:dyDescent="0.25">
      <c r="A13" s="62" t="s">
        <v>203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W13" s="94" t="s">
        <v>227</v>
      </c>
      <c r="X13" s="27">
        <v>5</v>
      </c>
      <c r="Y13" s="70">
        <v>1</v>
      </c>
      <c r="Z13" s="28">
        <f>Y13*X13</f>
        <v>5</v>
      </c>
    </row>
    <row r="14" spans="1:26" x14ac:dyDescent="0.25">
      <c r="L14" s="59" t="s">
        <v>218</v>
      </c>
      <c r="M14" s="59" t="s">
        <v>219</v>
      </c>
      <c r="N14" s="59" t="s">
        <v>220</v>
      </c>
      <c r="O14" s="59" t="s">
        <v>221</v>
      </c>
      <c r="P14" s="59" t="s">
        <v>222</v>
      </c>
      <c r="Q14" s="59" t="s">
        <v>223</v>
      </c>
      <c r="R14" s="59" t="s">
        <v>224</v>
      </c>
      <c r="S14" s="59" t="s">
        <v>225</v>
      </c>
      <c r="T14" s="59" t="s">
        <v>226</v>
      </c>
      <c r="U14" s="59" t="s">
        <v>227</v>
      </c>
      <c r="X14" s="35">
        <f>SUM(X3:X13)</f>
        <v>35</v>
      </c>
      <c r="Y14" s="35" t="s">
        <v>173</v>
      </c>
      <c r="Z14" s="82">
        <f>SUM(Z3:Z13)</f>
        <v>35</v>
      </c>
    </row>
    <row r="15" spans="1:26" ht="33.75" x14ac:dyDescent="0.2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10</v>
      </c>
      <c r="I15" s="1" t="s">
        <v>11</v>
      </c>
      <c r="J15" s="1" t="s">
        <v>12</v>
      </c>
      <c r="K15" s="1" t="s">
        <v>13</v>
      </c>
      <c r="L15" s="1" t="s">
        <v>14</v>
      </c>
      <c r="M15" s="1" t="s">
        <v>15</v>
      </c>
      <c r="N15" s="1" t="s">
        <v>16</v>
      </c>
      <c r="O15" s="1" t="s">
        <v>17</v>
      </c>
      <c r="P15" s="1" t="s">
        <v>18</v>
      </c>
      <c r="Q15" s="1" t="s">
        <v>19</v>
      </c>
      <c r="R15" s="1" t="s">
        <v>20</v>
      </c>
      <c r="S15" s="1" t="s">
        <v>21</v>
      </c>
      <c r="T15" s="37" t="s">
        <v>204</v>
      </c>
      <c r="U15" s="37" t="s">
        <v>205</v>
      </c>
    </row>
    <row r="16" spans="1:26" x14ac:dyDescent="0.25">
      <c r="A16" t="s">
        <v>22</v>
      </c>
      <c r="B16" t="s">
        <v>23</v>
      </c>
      <c r="C16">
        <v>27</v>
      </c>
      <c r="D16">
        <v>28</v>
      </c>
      <c r="E16">
        <v>15</v>
      </c>
      <c r="F16">
        <v>35</v>
      </c>
      <c r="G16">
        <v>3</v>
      </c>
      <c r="H16">
        <v>0</v>
      </c>
      <c r="I16" s="2">
        <v>5000000</v>
      </c>
      <c r="J16" s="2">
        <v>80000000</v>
      </c>
      <c r="K16" s="3">
        <v>0.01</v>
      </c>
      <c r="L16" s="13">
        <f>D16*2+E16</f>
        <v>71</v>
      </c>
      <c r="M16" s="13">
        <f>ROUND(L16/F16,2)</f>
        <v>2.0299999999999998</v>
      </c>
      <c r="N16" s="13">
        <f>MAX(0,MIN(10,10-(G16*0.3+H16*2)))</f>
        <v>9.1</v>
      </c>
      <c r="O16" s="13" t="str">
        <f>IF(M16&gt;=2,"Elite",IF(M16&gt;=1.5,"Excellent",IF(M16&gt;=1,"Good",IF(M16&gt;=0.5,"Average","Below Average"))))</f>
        <v>Elite</v>
      </c>
      <c r="P16" s="13">
        <f>IFERROR(J16/L16,"No Goals/Assists")</f>
        <v>1126760.5633802817</v>
      </c>
      <c r="Q16" s="13">
        <f>IFERROR(I16/L16,"No data")</f>
        <v>70422.535211267605</v>
      </c>
      <c r="R16" s="13" t="str">
        <f>IF(YEAR(K16)&lt;=2025,"Urgent",IF(YEAR(K16)=2026,"Soon","Long Term"))</f>
        <v>Urgent</v>
      </c>
      <c r="S16" s="13" t="str">
        <f>IF(AND(O16="Elite",C16&lt;28),"A",IF(AND(O16="Excellent",C16&lt;30),"B",IF(O16="Good","C","Monitor")))</f>
        <v>A</v>
      </c>
      <c r="T16" s="13" t="str">
        <f>_xlfn.LET(_xlpm.TotalPts,D16*2+E16,_xlpm.AvgPts,_xlpm.TotalPts/F16,IF(_xlpm.AvgPts&gt;=1.5,"Star","Regular"))</f>
        <v>Star</v>
      </c>
      <c r="U16" s="13" cm="1">
        <f t="array" ref="U16">PLAYERVALUE(D16,E16,I16)</f>
        <v>14.2</v>
      </c>
    </row>
    <row r="17" spans="1:21" x14ac:dyDescent="0.25">
      <c r="A17" t="s">
        <v>24</v>
      </c>
      <c r="B17" t="s">
        <v>25</v>
      </c>
      <c r="C17">
        <v>31</v>
      </c>
      <c r="D17">
        <v>32</v>
      </c>
      <c r="E17">
        <v>10</v>
      </c>
      <c r="F17">
        <v>38</v>
      </c>
      <c r="G17">
        <v>5</v>
      </c>
      <c r="H17">
        <v>1</v>
      </c>
      <c r="I17" s="2">
        <v>6000000</v>
      </c>
      <c r="J17" s="2">
        <v>75000000</v>
      </c>
      <c r="K17" s="3">
        <v>46022</v>
      </c>
      <c r="L17" s="13">
        <f t="shared" ref="L17:L27" si="0">D17*2+E17</f>
        <v>74</v>
      </c>
      <c r="M17" s="13">
        <f t="shared" ref="M17:M27" si="1">ROUND(L17/F17,2)</f>
        <v>1.95</v>
      </c>
      <c r="N17" s="13">
        <f t="shared" ref="N17:N27" si="2">MAX(0,MIN(10,10-(G17*0.3+H17*2)))</f>
        <v>6.5</v>
      </c>
      <c r="O17" s="13" t="str">
        <f t="shared" ref="O17:O27" si="3">IF(M17&gt;=2,"Elite",IF(M17&gt;=1.5,"Excellent",IF(M17&gt;=1,"Good",IF(M17&gt;=0.5,"Average","Below Average"))))</f>
        <v>Excellent</v>
      </c>
      <c r="P17" s="13">
        <f t="shared" ref="P17:P27" si="4">IFERROR(J17/L17,"No Goals/Assists")</f>
        <v>1013513.5135135135</v>
      </c>
      <c r="Q17" s="13">
        <f t="shared" ref="Q17:Q27" si="5">IFERROR(I17/L17,"No data")</f>
        <v>81081.08108108108</v>
      </c>
      <c r="R17" s="13" t="str">
        <f t="shared" ref="R17:R27" si="6">IF(YEAR(K17)&lt;=2025,"Urgent",IF(YEAR(K17)=2026,"Soon","Long Term"))</f>
        <v>Urgent</v>
      </c>
      <c r="S17" s="13" t="str">
        <f t="shared" ref="S17:S27" si="7">IF(AND(O17="Elite",C17&lt;28),"A",IF(AND(O17="Excellent",C17&lt;30),"B",IF(O17="Good","C","Monitor")))</f>
        <v>Monitor</v>
      </c>
      <c r="T17" s="13" t="str">
        <f t="shared" ref="T17:T27" si="8">_xlfn.LET(_xlpm.TotalPts,D17*2+E17,_xlpm.AvgPts,_xlpm.TotalPts/F17,IF(_xlpm.AvgPts&gt;=1.5,"Star","Regular"))</f>
        <v>Star</v>
      </c>
      <c r="U17" s="13" cm="1">
        <f t="array" ref="U17">PLAYERVALUE(D17,E17,I17)</f>
        <v>12.333333333333334</v>
      </c>
    </row>
    <row r="18" spans="1:21" x14ac:dyDescent="0.25">
      <c r="A18" t="s">
        <v>26</v>
      </c>
      <c r="B18" t="s">
        <v>25</v>
      </c>
      <c r="C18">
        <v>25</v>
      </c>
      <c r="D18">
        <v>18</v>
      </c>
      <c r="E18">
        <v>22</v>
      </c>
      <c r="F18">
        <v>36</v>
      </c>
      <c r="G18">
        <v>2</v>
      </c>
      <c r="H18">
        <v>0</v>
      </c>
      <c r="I18" s="2">
        <v>3500000</v>
      </c>
      <c r="J18" s="2">
        <v>55000000</v>
      </c>
      <c r="K18" s="3">
        <v>46568</v>
      </c>
      <c r="L18" s="13">
        <f t="shared" si="0"/>
        <v>58</v>
      </c>
      <c r="M18" s="13">
        <f t="shared" si="1"/>
        <v>1.61</v>
      </c>
      <c r="N18" s="13">
        <f t="shared" si="2"/>
        <v>9.4</v>
      </c>
      <c r="O18" s="13" t="str">
        <f t="shared" si="3"/>
        <v>Excellent</v>
      </c>
      <c r="P18" s="13">
        <f t="shared" si="4"/>
        <v>948275.86206896557</v>
      </c>
      <c r="Q18" s="13">
        <f t="shared" si="5"/>
        <v>60344.827586206899</v>
      </c>
      <c r="R18" s="13" t="str">
        <f t="shared" si="6"/>
        <v>Long Term</v>
      </c>
      <c r="S18" s="13" t="str">
        <f t="shared" si="7"/>
        <v>B</v>
      </c>
      <c r="T18" s="13" t="str">
        <f t="shared" si="8"/>
        <v>Star</v>
      </c>
      <c r="U18" s="13" cm="1">
        <f t="array" ref="U18">PLAYERVALUE(D18,E18,I18)</f>
        <v>16.571428571428573</v>
      </c>
    </row>
    <row r="19" spans="1:21" x14ac:dyDescent="0.25">
      <c r="A19" t="s">
        <v>27</v>
      </c>
      <c r="B19" t="s">
        <v>23</v>
      </c>
      <c r="C19">
        <v>28</v>
      </c>
      <c r="D19">
        <v>24</v>
      </c>
      <c r="E19">
        <v>12</v>
      </c>
      <c r="F19">
        <v>33</v>
      </c>
      <c r="G19">
        <v>4</v>
      </c>
      <c r="H19">
        <v>0</v>
      </c>
      <c r="I19" s="2">
        <v>4200000</v>
      </c>
      <c r="J19" s="2">
        <v>60000000</v>
      </c>
      <c r="K19" s="3">
        <v>46387</v>
      </c>
      <c r="L19" s="13">
        <f t="shared" si="0"/>
        <v>60</v>
      </c>
      <c r="M19" s="13">
        <f t="shared" si="1"/>
        <v>1.82</v>
      </c>
      <c r="N19" s="13">
        <f t="shared" si="2"/>
        <v>8.8000000000000007</v>
      </c>
      <c r="O19" s="13" t="str">
        <f t="shared" si="3"/>
        <v>Excellent</v>
      </c>
      <c r="P19" s="13">
        <f t="shared" si="4"/>
        <v>1000000</v>
      </c>
      <c r="Q19" s="13">
        <f t="shared" si="5"/>
        <v>70000</v>
      </c>
      <c r="R19" s="13" t="str">
        <f t="shared" si="6"/>
        <v>Soon</v>
      </c>
      <c r="S19" s="13" t="str">
        <f t="shared" si="7"/>
        <v>B</v>
      </c>
      <c r="T19" s="13" t="str">
        <f t="shared" si="8"/>
        <v>Star</v>
      </c>
      <c r="U19" s="13" cm="1">
        <f t="array" ref="U19">PLAYERVALUE(D19,E19,I19)</f>
        <v>14.285714285714286</v>
      </c>
    </row>
    <row r="20" spans="1:21" x14ac:dyDescent="0.25">
      <c r="A20" t="s">
        <v>28</v>
      </c>
      <c r="B20" t="s">
        <v>29</v>
      </c>
      <c r="C20">
        <v>29</v>
      </c>
      <c r="D20">
        <v>15</v>
      </c>
      <c r="E20">
        <v>8</v>
      </c>
      <c r="F20">
        <v>30</v>
      </c>
      <c r="G20">
        <v>6</v>
      </c>
      <c r="H20">
        <v>1</v>
      </c>
      <c r="I20" s="2">
        <v>2800000</v>
      </c>
      <c r="J20" s="2">
        <v>35000000</v>
      </c>
      <c r="K20" s="3">
        <v>45838</v>
      </c>
      <c r="L20" s="13">
        <f t="shared" si="0"/>
        <v>38</v>
      </c>
      <c r="M20" s="13">
        <f t="shared" si="1"/>
        <v>1.27</v>
      </c>
      <c r="N20" s="13">
        <f t="shared" si="2"/>
        <v>6.2</v>
      </c>
      <c r="O20" s="13" t="str">
        <f t="shared" si="3"/>
        <v>Good</v>
      </c>
      <c r="P20" s="13">
        <f t="shared" si="4"/>
        <v>921052.63157894742</v>
      </c>
      <c r="Q20" s="13">
        <f t="shared" si="5"/>
        <v>73684.210526315786</v>
      </c>
      <c r="R20" s="13" t="str">
        <f t="shared" si="6"/>
        <v>Urgent</v>
      </c>
      <c r="S20" s="13" t="str">
        <f t="shared" si="7"/>
        <v>C</v>
      </c>
      <c r="T20" s="13" t="str">
        <f t="shared" si="8"/>
        <v>Regular</v>
      </c>
      <c r="U20" s="13" cm="1">
        <f t="array" ref="U20">PLAYERVALUE(D20,E20,I20)</f>
        <v>13.571428571428571</v>
      </c>
    </row>
    <row r="21" spans="1:21" x14ac:dyDescent="0.25">
      <c r="A21" t="s">
        <v>30</v>
      </c>
      <c r="B21" t="s">
        <v>23</v>
      </c>
      <c r="C21">
        <v>26</v>
      </c>
      <c r="D21">
        <v>20</v>
      </c>
      <c r="E21">
        <v>18</v>
      </c>
      <c r="F21">
        <v>34</v>
      </c>
      <c r="G21">
        <v>1</v>
      </c>
      <c r="H21">
        <v>0</v>
      </c>
      <c r="I21" s="2">
        <v>4500000</v>
      </c>
      <c r="J21" s="2">
        <v>65000000</v>
      </c>
      <c r="K21" s="3">
        <v>46934</v>
      </c>
      <c r="L21" s="13">
        <f t="shared" si="0"/>
        <v>58</v>
      </c>
      <c r="M21" s="13">
        <f t="shared" si="1"/>
        <v>1.71</v>
      </c>
      <c r="N21" s="13">
        <f t="shared" si="2"/>
        <v>9.6999999999999993</v>
      </c>
      <c r="O21" s="13" t="str">
        <f t="shared" si="3"/>
        <v>Excellent</v>
      </c>
      <c r="P21" s="13">
        <f t="shared" si="4"/>
        <v>1120689.6551724137</v>
      </c>
      <c r="Q21" s="13">
        <f t="shared" si="5"/>
        <v>77586.206896551725</v>
      </c>
      <c r="R21" s="13" t="str">
        <f t="shared" si="6"/>
        <v>Long Term</v>
      </c>
      <c r="S21" s="13" t="str">
        <f t="shared" si="7"/>
        <v>B</v>
      </c>
      <c r="T21" s="13" t="str">
        <f t="shared" si="8"/>
        <v>Star</v>
      </c>
      <c r="U21" s="13" cm="1">
        <f t="array" ref="U21">PLAYERVALUE(D21,E21,I21)</f>
        <v>12.888888888888889</v>
      </c>
    </row>
    <row r="22" spans="1:21" x14ac:dyDescent="0.25">
      <c r="A22" t="s">
        <v>31</v>
      </c>
      <c r="B22" t="s">
        <v>25</v>
      </c>
      <c r="C22">
        <v>30</v>
      </c>
      <c r="D22">
        <v>12</v>
      </c>
      <c r="E22">
        <v>25</v>
      </c>
      <c r="F22">
        <v>37</v>
      </c>
      <c r="G22">
        <v>3</v>
      </c>
      <c r="H22">
        <v>0</v>
      </c>
      <c r="I22" s="2">
        <v>3800000</v>
      </c>
      <c r="J22" s="2">
        <v>50000000</v>
      </c>
      <c r="K22" s="3">
        <v>46203</v>
      </c>
      <c r="L22" s="13">
        <f t="shared" si="0"/>
        <v>49</v>
      </c>
      <c r="M22" s="13">
        <f t="shared" si="1"/>
        <v>1.32</v>
      </c>
      <c r="N22" s="13">
        <f t="shared" si="2"/>
        <v>9.1</v>
      </c>
      <c r="O22" s="13" t="str">
        <f t="shared" si="3"/>
        <v>Good</v>
      </c>
      <c r="P22" s="13">
        <f t="shared" si="4"/>
        <v>1020408.1632653062</v>
      </c>
      <c r="Q22" s="13">
        <f t="shared" si="5"/>
        <v>77551.020408163269</v>
      </c>
      <c r="R22" s="13" t="str">
        <f t="shared" si="6"/>
        <v>Soon</v>
      </c>
      <c r="S22" s="13" t="str">
        <f t="shared" si="7"/>
        <v>C</v>
      </c>
      <c r="T22" s="13" t="str">
        <f t="shared" si="8"/>
        <v>Regular</v>
      </c>
      <c r="U22" s="13" cm="1">
        <f t="array" ref="U22">PLAYERVALUE(D22,E22,I22)</f>
        <v>12.894736842105264</v>
      </c>
    </row>
    <row r="23" spans="1:21" x14ac:dyDescent="0.25">
      <c r="A23" t="s">
        <v>32</v>
      </c>
      <c r="B23" t="s">
        <v>29</v>
      </c>
      <c r="C23">
        <v>32</v>
      </c>
      <c r="D23">
        <v>22</v>
      </c>
      <c r="E23">
        <v>14</v>
      </c>
      <c r="F23">
        <v>32</v>
      </c>
      <c r="G23">
        <v>7</v>
      </c>
      <c r="H23">
        <v>2</v>
      </c>
      <c r="I23" s="2">
        <v>4000000</v>
      </c>
      <c r="J23" s="2">
        <v>58000000</v>
      </c>
      <c r="K23" s="3">
        <v>46752</v>
      </c>
      <c r="L23" s="13">
        <f t="shared" si="0"/>
        <v>58</v>
      </c>
      <c r="M23" s="13">
        <f t="shared" si="1"/>
        <v>1.81</v>
      </c>
      <c r="N23" s="13">
        <f t="shared" si="2"/>
        <v>3.9000000000000004</v>
      </c>
      <c r="O23" s="13" t="str">
        <f t="shared" si="3"/>
        <v>Excellent</v>
      </c>
      <c r="P23" s="13">
        <f t="shared" si="4"/>
        <v>1000000</v>
      </c>
      <c r="Q23" s="13">
        <f t="shared" si="5"/>
        <v>68965.517241379304</v>
      </c>
      <c r="R23" s="13" t="str">
        <f t="shared" si="6"/>
        <v>Long Term</v>
      </c>
      <c r="S23" s="13" t="str">
        <f t="shared" si="7"/>
        <v>Monitor</v>
      </c>
      <c r="T23" s="13" t="str">
        <f t="shared" si="8"/>
        <v>Star</v>
      </c>
      <c r="U23" s="13" cm="1">
        <f t="array" ref="U23">PLAYERVALUE(D23,E23,I23)</f>
        <v>14.5</v>
      </c>
    </row>
    <row r="24" spans="1:21" x14ac:dyDescent="0.25">
      <c r="A24" t="s">
        <v>33</v>
      </c>
      <c r="B24" t="s">
        <v>25</v>
      </c>
      <c r="C24">
        <v>28</v>
      </c>
      <c r="D24">
        <v>16</v>
      </c>
      <c r="E24">
        <v>20</v>
      </c>
      <c r="F24">
        <v>35</v>
      </c>
      <c r="G24">
        <v>2</v>
      </c>
      <c r="H24">
        <v>0</v>
      </c>
      <c r="I24" s="2">
        <v>3600000</v>
      </c>
      <c r="J24" s="2">
        <v>52000000</v>
      </c>
      <c r="K24" s="3">
        <v>46022</v>
      </c>
      <c r="L24" s="13">
        <f t="shared" si="0"/>
        <v>52</v>
      </c>
      <c r="M24" s="13">
        <f t="shared" si="1"/>
        <v>1.49</v>
      </c>
      <c r="N24" s="13">
        <f t="shared" si="2"/>
        <v>9.4</v>
      </c>
      <c r="O24" s="13" t="str">
        <f t="shared" si="3"/>
        <v>Good</v>
      </c>
      <c r="P24" s="13">
        <f t="shared" si="4"/>
        <v>1000000</v>
      </c>
      <c r="Q24" s="13">
        <f t="shared" si="5"/>
        <v>69230.769230769234</v>
      </c>
      <c r="R24" s="13" t="str">
        <f t="shared" si="6"/>
        <v>Urgent</v>
      </c>
      <c r="S24" s="13" t="str">
        <f t="shared" si="7"/>
        <v>C</v>
      </c>
      <c r="T24" s="13" t="str">
        <f t="shared" si="8"/>
        <v>Regular</v>
      </c>
      <c r="U24" s="13" cm="1">
        <f t="array" ref="U24">PLAYERVALUE(D24,E24,I24)</f>
        <v>14.444444444444445</v>
      </c>
    </row>
    <row r="25" spans="1:21" x14ac:dyDescent="0.25">
      <c r="A25" t="s">
        <v>34</v>
      </c>
      <c r="B25" t="s">
        <v>23</v>
      </c>
      <c r="C25">
        <v>29</v>
      </c>
      <c r="D25">
        <v>25</v>
      </c>
      <c r="E25">
        <v>11</v>
      </c>
      <c r="F25">
        <v>36</v>
      </c>
      <c r="G25">
        <v>4</v>
      </c>
      <c r="H25">
        <v>1</v>
      </c>
      <c r="I25" s="2">
        <v>4800000</v>
      </c>
      <c r="J25" s="2">
        <v>70000000</v>
      </c>
      <c r="K25" s="3">
        <v>46387</v>
      </c>
      <c r="L25" s="13">
        <f t="shared" si="0"/>
        <v>61</v>
      </c>
      <c r="M25" s="13">
        <f t="shared" si="1"/>
        <v>1.69</v>
      </c>
      <c r="N25" s="13">
        <f t="shared" si="2"/>
        <v>6.8</v>
      </c>
      <c r="O25" s="13" t="str">
        <f t="shared" si="3"/>
        <v>Excellent</v>
      </c>
      <c r="P25" s="13">
        <f t="shared" si="4"/>
        <v>1147540.9836065574</v>
      </c>
      <c r="Q25" s="13">
        <f t="shared" si="5"/>
        <v>78688.524590163928</v>
      </c>
      <c r="R25" s="13" t="str">
        <f t="shared" si="6"/>
        <v>Soon</v>
      </c>
      <c r="S25" s="13" t="str">
        <f t="shared" si="7"/>
        <v>B</v>
      </c>
      <c r="T25" s="13" t="str">
        <f t="shared" si="8"/>
        <v>Star</v>
      </c>
      <c r="U25" s="13" cm="1">
        <f t="array" ref="U25">PLAYERVALUE(D25,E25,I25)</f>
        <v>12.708333333333334</v>
      </c>
    </row>
    <row r="26" spans="1:21" x14ac:dyDescent="0.25">
      <c r="A26" t="s">
        <v>35</v>
      </c>
      <c r="B26" t="s">
        <v>36</v>
      </c>
      <c r="C26">
        <v>33</v>
      </c>
      <c r="D26">
        <v>0</v>
      </c>
      <c r="E26">
        <v>0</v>
      </c>
      <c r="F26">
        <v>28</v>
      </c>
      <c r="G26">
        <v>8</v>
      </c>
      <c r="H26">
        <v>2</v>
      </c>
      <c r="I26" s="2">
        <v>2500000</v>
      </c>
      <c r="J26" s="2">
        <v>25000000</v>
      </c>
      <c r="K26" s="3">
        <v>45838</v>
      </c>
      <c r="L26" s="13">
        <f t="shared" si="0"/>
        <v>0</v>
      </c>
      <c r="M26" s="13">
        <f t="shared" si="1"/>
        <v>0</v>
      </c>
      <c r="N26" s="13">
        <f t="shared" si="2"/>
        <v>3.5999999999999996</v>
      </c>
      <c r="O26" s="13" t="str">
        <f t="shared" si="3"/>
        <v>Below Average</v>
      </c>
      <c r="P26" s="13" t="str">
        <f t="shared" si="4"/>
        <v>No Goals/Assists</v>
      </c>
      <c r="Q26" s="13" t="str">
        <f t="shared" si="5"/>
        <v>No data</v>
      </c>
      <c r="R26" s="13" t="str">
        <f t="shared" si="6"/>
        <v>Urgent</v>
      </c>
      <c r="S26" s="13" t="str">
        <f t="shared" si="7"/>
        <v>Monitor</v>
      </c>
      <c r="T26" s="13" t="str">
        <f t="shared" si="8"/>
        <v>Regular</v>
      </c>
      <c r="U26" s="13" cm="1">
        <f t="array" ref="U26">PLAYERVALUE(D26,E26,I26)</f>
        <v>0</v>
      </c>
    </row>
    <row r="27" spans="1:21" x14ac:dyDescent="0.25">
      <c r="A27" t="s">
        <v>37</v>
      </c>
      <c r="B27" t="s">
        <v>23</v>
      </c>
      <c r="C27">
        <v>24</v>
      </c>
      <c r="D27">
        <v>35</v>
      </c>
      <c r="E27">
        <v>12</v>
      </c>
      <c r="F27">
        <v>37</v>
      </c>
      <c r="G27">
        <v>2</v>
      </c>
      <c r="H27">
        <v>0</v>
      </c>
      <c r="I27" s="2">
        <v>7000000</v>
      </c>
      <c r="J27" s="2">
        <v>95000000</v>
      </c>
      <c r="K27" s="3">
        <v>46568</v>
      </c>
      <c r="L27" s="13">
        <f t="shared" si="0"/>
        <v>82</v>
      </c>
      <c r="M27" s="13">
        <f t="shared" si="1"/>
        <v>2.2200000000000002</v>
      </c>
      <c r="N27" s="13">
        <f t="shared" si="2"/>
        <v>9.4</v>
      </c>
      <c r="O27" s="13" t="str">
        <f t="shared" si="3"/>
        <v>Elite</v>
      </c>
      <c r="P27" s="13">
        <f t="shared" si="4"/>
        <v>1158536.5853658537</v>
      </c>
      <c r="Q27" s="13">
        <f t="shared" si="5"/>
        <v>85365.85365853658</v>
      </c>
      <c r="R27" s="13" t="str">
        <f t="shared" si="6"/>
        <v>Long Term</v>
      </c>
      <c r="S27" s="13" t="str">
        <f t="shared" si="7"/>
        <v>A</v>
      </c>
      <c r="T27" s="13" t="str">
        <f t="shared" si="8"/>
        <v>Star</v>
      </c>
      <c r="U27" s="13" cm="1">
        <f t="array" ref="U27">PLAYERVALUE(D27,E27,I27)</f>
        <v>11.714285714285714</v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B1" workbookViewId="0">
      <selection activeCell="H9" sqref="H9"/>
    </sheetView>
  </sheetViews>
  <sheetFormatPr defaultRowHeight="15" x14ac:dyDescent="0.25"/>
  <cols>
    <col min="1" max="1" width="34.28515625" customWidth="1"/>
    <col min="2" max="2" width="13" customWidth="1"/>
    <col min="3" max="3" width="18" customWidth="1"/>
    <col min="4" max="4" width="15" customWidth="1"/>
    <col min="5" max="5" width="20" customWidth="1"/>
    <col min="6" max="6" width="10" customWidth="1"/>
    <col min="7" max="7" width="11" customWidth="1"/>
    <col min="8" max="9" width="15" customWidth="1"/>
    <col min="10" max="10" width="12" customWidth="1"/>
    <col min="12" max="13" width="8" customWidth="1"/>
    <col min="14" max="14" width="15" customWidth="1"/>
  </cols>
  <sheetData>
    <row r="1" spans="1:16" ht="18.75" x14ac:dyDescent="0.25">
      <c r="A1" s="18" t="s">
        <v>180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8.75" x14ac:dyDescent="0.25">
      <c r="A2" s="12" t="s">
        <v>184</v>
      </c>
      <c r="B2" s="12"/>
      <c r="C2" s="12"/>
      <c r="D2" s="12"/>
      <c r="E2" s="12"/>
      <c r="M2" s="76" t="s">
        <v>247</v>
      </c>
      <c r="N2" t="s">
        <v>174</v>
      </c>
      <c r="P2" t="s">
        <v>175</v>
      </c>
    </row>
    <row r="3" spans="1:16" x14ac:dyDescent="0.25">
      <c r="A3" s="62" t="s">
        <v>181</v>
      </c>
      <c r="B3" s="62"/>
      <c r="C3" s="62"/>
      <c r="D3" s="62"/>
      <c r="E3" s="62"/>
      <c r="F3" s="62"/>
      <c r="G3" s="62"/>
      <c r="H3" s="62"/>
      <c r="I3" s="62"/>
      <c r="J3" s="62"/>
      <c r="K3" s="62"/>
      <c r="M3" s="88" t="s">
        <v>218</v>
      </c>
      <c r="N3" s="79">
        <v>1</v>
      </c>
      <c r="O3" s="11">
        <v>1</v>
      </c>
      <c r="P3" s="10">
        <f>O3*N3</f>
        <v>1</v>
      </c>
    </row>
    <row r="4" spans="1:16" x14ac:dyDescent="0.25">
      <c r="A4" s="62" t="s">
        <v>188</v>
      </c>
      <c r="B4" s="62"/>
      <c r="C4" s="62"/>
      <c r="D4" s="62"/>
      <c r="E4" s="62"/>
      <c r="F4" s="62"/>
      <c r="G4" s="62"/>
      <c r="H4" s="62"/>
      <c r="I4" s="62"/>
      <c r="J4" s="62"/>
      <c r="K4" s="62"/>
      <c r="M4" s="88" t="s">
        <v>219</v>
      </c>
      <c r="N4" s="79">
        <v>2</v>
      </c>
      <c r="O4" s="11">
        <v>1</v>
      </c>
      <c r="P4" s="10">
        <f t="shared" ref="P4" si="0">O4*N4</f>
        <v>2</v>
      </c>
    </row>
    <row r="5" spans="1:16" ht="15.75" customHeight="1" x14ac:dyDescent="0.25">
      <c r="A5" s="62" t="s">
        <v>182</v>
      </c>
      <c r="B5" s="62"/>
      <c r="C5" s="62"/>
      <c r="D5" s="62"/>
      <c r="E5" s="62"/>
      <c r="F5" s="62"/>
      <c r="G5" s="62"/>
      <c r="H5" s="62"/>
      <c r="I5" s="62"/>
      <c r="J5" s="62"/>
      <c r="K5" s="62"/>
      <c r="M5" s="88" t="s">
        <v>220</v>
      </c>
      <c r="N5" s="79">
        <v>2</v>
      </c>
      <c r="O5" s="11">
        <v>1</v>
      </c>
      <c r="P5" s="10">
        <f>O5*N5</f>
        <v>2</v>
      </c>
    </row>
    <row r="6" spans="1:16" x14ac:dyDescent="0.25">
      <c r="A6" s="62" t="s">
        <v>185</v>
      </c>
      <c r="B6" s="62"/>
      <c r="C6" s="62"/>
      <c r="D6" s="62"/>
      <c r="E6" s="62"/>
      <c r="F6" s="62"/>
      <c r="G6" s="62"/>
      <c r="H6" s="62"/>
      <c r="I6" s="62"/>
      <c r="J6" s="62"/>
      <c r="K6" s="62"/>
      <c r="M6" s="92" t="s">
        <v>221</v>
      </c>
      <c r="N6" s="79">
        <v>1</v>
      </c>
      <c r="O6" s="11">
        <v>1</v>
      </c>
      <c r="P6" s="10">
        <f>O6*N6</f>
        <v>1</v>
      </c>
    </row>
    <row r="7" spans="1:16" x14ac:dyDescent="0.25">
      <c r="A7" s="62" t="s">
        <v>186</v>
      </c>
      <c r="B7" s="62"/>
      <c r="C7" s="62"/>
      <c r="D7" s="62"/>
      <c r="E7" s="62"/>
      <c r="F7" s="62"/>
      <c r="G7" s="62"/>
      <c r="H7" s="62"/>
      <c r="I7" s="62"/>
      <c r="J7" s="62"/>
      <c r="K7" s="62"/>
      <c r="M7" s="92" t="s">
        <v>222</v>
      </c>
      <c r="N7" s="79">
        <v>1</v>
      </c>
      <c r="O7" s="11">
        <v>1</v>
      </c>
      <c r="P7" s="10">
        <f>O7*N7</f>
        <v>1</v>
      </c>
    </row>
    <row r="8" spans="1:16" x14ac:dyDescent="0.25">
      <c r="A8" s="62" t="s">
        <v>217</v>
      </c>
      <c r="B8" s="62"/>
      <c r="C8" s="62"/>
      <c r="D8" s="62"/>
      <c r="E8" s="62"/>
      <c r="F8" s="62"/>
      <c r="G8" s="62"/>
      <c r="H8" s="62"/>
      <c r="I8" s="62"/>
      <c r="J8" s="62"/>
      <c r="K8" s="62"/>
      <c r="M8" s="92" t="s">
        <v>223</v>
      </c>
      <c r="N8" s="80">
        <v>1</v>
      </c>
      <c r="O8" s="16">
        <v>1</v>
      </c>
      <c r="P8" s="15">
        <f>O8*N8</f>
        <v>1</v>
      </c>
    </row>
    <row r="9" spans="1:16" x14ac:dyDescent="0.25">
      <c r="A9" s="62" t="s">
        <v>187</v>
      </c>
      <c r="B9" s="62"/>
      <c r="C9" s="62"/>
      <c r="D9" s="62"/>
      <c r="E9" s="62"/>
      <c r="F9" s="62"/>
      <c r="G9" s="62"/>
      <c r="H9" s="62"/>
      <c r="I9" s="62"/>
      <c r="J9" s="62"/>
      <c r="K9" s="62"/>
      <c r="M9" s="92" t="s">
        <v>224</v>
      </c>
      <c r="N9" s="27">
        <v>5</v>
      </c>
      <c r="O9" s="33">
        <v>1</v>
      </c>
      <c r="P9" s="28">
        <f>O9*N9</f>
        <v>5</v>
      </c>
    </row>
    <row r="10" spans="1:16" x14ac:dyDescent="0.25">
      <c r="A10" s="62" t="s">
        <v>206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M10" s="93" t="s">
        <v>225</v>
      </c>
      <c r="N10" s="29">
        <v>5</v>
      </c>
      <c r="O10" s="34">
        <v>1</v>
      </c>
      <c r="P10" s="25">
        <f>O10*N10</f>
        <v>5</v>
      </c>
    </row>
    <row r="11" spans="1:16" x14ac:dyDescent="0.25">
      <c r="A11" s="62" t="s">
        <v>207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M11" s="93" t="s">
        <v>226</v>
      </c>
      <c r="N11" s="42">
        <v>5</v>
      </c>
      <c r="O11" s="30">
        <v>1</v>
      </c>
      <c r="P11" s="24">
        <f>O11*N11</f>
        <v>5</v>
      </c>
    </row>
    <row r="12" spans="1:16" x14ac:dyDescent="0.25">
      <c r="A12" s="62" t="s">
        <v>208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M12" s="94" t="s">
        <v>227</v>
      </c>
      <c r="N12" s="29">
        <v>5</v>
      </c>
      <c r="O12" s="34">
        <v>1</v>
      </c>
      <c r="P12" s="25">
        <f>O12*N12</f>
        <v>5</v>
      </c>
    </row>
    <row r="13" spans="1:16" x14ac:dyDescent="0.25">
      <c r="A13" s="23"/>
      <c r="C13" s="59" t="s">
        <v>218</v>
      </c>
      <c r="D13" s="59" t="s">
        <v>218</v>
      </c>
      <c r="E13" s="59" t="s">
        <v>218</v>
      </c>
      <c r="F13" s="59" t="s">
        <v>219</v>
      </c>
      <c r="G13" s="59" t="s">
        <v>220</v>
      </c>
      <c r="H13" s="59" t="s">
        <v>221</v>
      </c>
      <c r="I13" s="59" t="s">
        <v>221</v>
      </c>
      <c r="J13" s="59" t="s">
        <v>222</v>
      </c>
      <c r="N13" s="26"/>
      <c r="O13" s="32"/>
      <c r="P13" s="26"/>
    </row>
    <row r="14" spans="1:16" ht="30" x14ac:dyDescent="0.25">
      <c r="A14" s="4" t="s">
        <v>38</v>
      </c>
      <c r="B14" s="4" t="s">
        <v>39</v>
      </c>
      <c r="C14" s="4" t="s">
        <v>40</v>
      </c>
      <c r="D14" s="4" t="s">
        <v>41</v>
      </c>
      <c r="E14" s="4" t="s">
        <v>42</v>
      </c>
      <c r="F14" s="4" t="s">
        <v>43</v>
      </c>
      <c r="G14" s="4" t="s">
        <v>44</v>
      </c>
      <c r="H14" s="4" t="s">
        <v>45</v>
      </c>
      <c r="I14" s="4" t="s">
        <v>183</v>
      </c>
      <c r="J14" s="4" t="s">
        <v>46</v>
      </c>
    </row>
    <row r="15" spans="1:16" x14ac:dyDescent="0.25">
      <c r="A15" t="s">
        <v>47</v>
      </c>
      <c r="B15">
        <v>58000</v>
      </c>
      <c r="C15" s="13" t="str">
        <f>INDEX(B$56:B$63,MATCH(A15,I$56:I$63,0))</f>
        <v>Real Madrid</v>
      </c>
      <c r="D15" s="13" t="str">
        <f>INDEX(C$56:C$63,MATCH(A15,I$56:I$63,0))</f>
        <v>La Liga</v>
      </c>
      <c r="E15" s="13" t="str">
        <f>INDEX(D$56:D$63,MATCH(A15,I$56:I$63,0))</f>
        <v>Santiago Bernabéu</v>
      </c>
      <c r="F15" s="13">
        <f>INDEX(B$66:B$73,MATCH(E15,A$66:A$73,0))</f>
        <v>81044</v>
      </c>
      <c r="G15" s="13">
        <f>INDEX(G$56:G$60,MATCH(D15,F$56:F$60,0))</f>
        <v>75</v>
      </c>
      <c r="H15" s="13" t="str">
        <f>INDEX(K$56:K$63,MATCH(A15,I$56:I$63,0))</f>
        <v>Ancelotti</v>
      </c>
      <c r="I15" s="13">
        <f>B15*G15</f>
        <v>4350000</v>
      </c>
      <c r="J15" s="17">
        <f>B15/F15</f>
        <v>0.7156606287942352</v>
      </c>
    </row>
    <row r="16" spans="1:16" x14ac:dyDescent="0.25">
      <c r="A16" t="s">
        <v>48</v>
      </c>
      <c r="B16">
        <v>72000</v>
      </c>
      <c r="C16" s="13" t="str">
        <f t="shared" ref="C16:C22" si="1">INDEX(B$56:B$63,MATCH(A16,I$56:I$63,0))</f>
        <v>FC Barcelona</v>
      </c>
      <c r="D16" s="13" t="str">
        <f t="shared" ref="D16:D22" si="2">INDEX(C$56:C$63,MATCH(A16,I$56:I$63,0))</f>
        <v>La Liga</v>
      </c>
      <c r="E16" s="13" t="str">
        <f t="shared" ref="E16:E22" si="3">INDEX(D$56:D$63,MATCH(A16,I$56:I$63,0))</f>
        <v>Camp Nou</v>
      </c>
      <c r="F16" s="13">
        <f t="shared" ref="F16:F22" si="4">INDEX(B$66:B$73,MATCH(E16,A$66:A$73,0))</f>
        <v>99354</v>
      </c>
      <c r="G16" s="13">
        <f t="shared" ref="G16:G22" si="5">INDEX(G$56:G$60,MATCH(D16,F$56:F$60,0))</f>
        <v>75</v>
      </c>
      <c r="H16" s="13" t="str">
        <f t="shared" ref="H16:H22" si="6">INDEX(K$56:K$63,MATCH(A16,I$56:I$63,0))</f>
        <v>Xavi</v>
      </c>
      <c r="I16" s="13">
        <f t="shared" ref="I16:I22" si="7">B16*G16</f>
        <v>5400000</v>
      </c>
      <c r="J16" s="17">
        <f t="shared" ref="J16:J22" si="8">B16/F16</f>
        <v>0.72468144211606977</v>
      </c>
    </row>
    <row r="17" spans="1:10" x14ac:dyDescent="0.25">
      <c r="A17" t="s">
        <v>49</v>
      </c>
      <c r="B17">
        <v>52000</v>
      </c>
      <c r="C17" s="13" t="str">
        <f t="shared" si="1"/>
        <v>Manchester United</v>
      </c>
      <c r="D17" s="13" t="str">
        <f t="shared" si="2"/>
        <v>Premier League</v>
      </c>
      <c r="E17" s="13" t="str">
        <f t="shared" si="3"/>
        <v>Old Trafford</v>
      </c>
      <c r="F17" s="13">
        <f t="shared" si="4"/>
        <v>74140</v>
      </c>
      <c r="G17" s="13">
        <f t="shared" si="5"/>
        <v>85</v>
      </c>
      <c r="H17" s="13" t="str">
        <f t="shared" si="6"/>
        <v>Ten Hag</v>
      </c>
      <c r="I17" s="13">
        <f t="shared" si="7"/>
        <v>4420000</v>
      </c>
      <c r="J17" s="17">
        <f t="shared" si="8"/>
        <v>0.70137577555975184</v>
      </c>
    </row>
    <row r="18" spans="1:10" x14ac:dyDescent="0.25">
      <c r="A18" t="s">
        <v>50</v>
      </c>
      <c r="B18">
        <v>61000</v>
      </c>
      <c r="C18" s="13" t="str">
        <f t="shared" si="1"/>
        <v>Bayern Munich</v>
      </c>
      <c r="D18" s="13" t="str">
        <f t="shared" si="2"/>
        <v>Bundesliga</v>
      </c>
      <c r="E18" s="13" t="str">
        <f t="shared" si="3"/>
        <v>Allianz Arena</v>
      </c>
      <c r="F18" s="13">
        <f t="shared" si="4"/>
        <v>75024</v>
      </c>
      <c r="G18" s="13">
        <f t="shared" si="5"/>
        <v>45</v>
      </c>
      <c r="H18" s="13" t="str">
        <f t="shared" si="6"/>
        <v>Tuchel</v>
      </c>
      <c r="I18" s="13">
        <f t="shared" si="7"/>
        <v>2745000</v>
      </c>
      <c r="J18" s="17">
        <f t="shared" si="8"/>
        <v>0.81307314992535717</v>
      </c>
    </row>
    <row r="19" spans="1:10" x14ac:dyDescent="0.25">
      <c r="A19" t="s">
        <v>51</v>
      </c>
      <c r="B19">
        <v>38000</v>
      </c>
      <c r="C19" s="13" t="str">
        <f t="shared" si="1"/>
        <v>Paris SG</v>
      </c>
      <c r="D19" s="13" t="str">
        <f t="shared" si="2"/>
        <v>Ligue 1</v>
      </c>
      <c r="E19" s="13" t="str">
        <f t="shared" si="3"/>
        <v>Parc des Princes</v>
      </c>
      <c r="F19" s="13">
        <f t="shared" si="4"/>
        <v>47929</v>
      </c>
      <c r="G19" s="13">
        <f t="shared" si="5"/>
        <v>55</v>
      </c>
      <c r="H19" s="13" t="str">
        <f t="shared" si="6"/>
        <v>Enrique</v>
      </c>
      <c r="I19" s="13">
        <f t="shared" si="7"/>
        <v>2090000</v>
      </c>
      <c r="J19" s="17">
        <f t="shared" si="8"/>
        <v>0.79283940829143107</v>
      </c>
    </row>
    <row r="20" spans="1:10" x14ac:dyDescent="0.25">
      <c r="A20" t="s">
        <v>52</v>
      </c>
      <c r="B20">
        <v>46000</v>
      </c>
      <c r="C20" s="13" t="str">
        <f t="shared" si="1"/>
        <v>Liverpool</v>
      </c>
      <c r="D20" s="13" t="str">
        <f t="shared" si="2"/>
        <v>Premier League</v>
      </c>
      <c r="E20" s="13" t="str">
        <f t="shared" si="3"/>
        <v>Anfield</v>
      </c>
      <c r="F20" s="13">
        <f t="shared" si="4"/>
        <v>53394</v>
      </c>
      <c r="G20" s="13">
        <f t="shared" si="5"/>
        <v>85</v>
      </c>
      <c r="H20" s="13" t="str">
        <f t="shared" si="6"/>
        <v>Klopp</v>
      </c>
      <c r="I20" s="13">
        <f t="shared" si="7"/>
        <v>3910000</v>
      </c>
      <c r="J20" s="17">
        <f t="shared" si="8"/>
        <v>0.86152002097613967</v>
      </c>
    </row>
    <row r="21" spans="1:10" x14ac:dyDescent="0.25">
      <c r="A21" t="s">
        <v>53</v>
      </c>
      <c r="B21">
        <v>35000</v>
      </c>
      <c r="C21" s="13" t="str">
        <f t="shared" si="1"/>
        <v>Juventus</v>
      </c>
      <c r="D21" s="13" t="str">
        <f t="shared" si="2"/>
        <v>Serie A</v>
      </c>
      <c r="E21" s="13" t="str">
        <f t="shared" si="3"/>
        <v>Allianz Stadium</v>
      </c>
      <c r="F21" s="13">
        <f t="shared" si="4"/>
        <v>41507</v>
      </c>
      <c r="G21" s="13">
        <f t="shared" si="5"/>
        <v>50</v>
      </c>
      <c r="H21" s="13" t="str">
        <f t="shared" si="6"/>
        <v>Allegri</v>
      </c>
      <c r="I21" s="13">
        <f t="shared" si="7"/>
        <v>1750000</v>
      </c>
      <c r="J21" s="17">
        <f t="shared" si="8"/>
        <v>0.84323126219673794</v>
      </c>
    </row>
    <row r="22" spans="1:10" x14ac:dyDescent="0.25">
      <c r="A22" t="s">
        <v>54</v>
      </c>
      <c r="B22">
        <v>68000</v>
      </c>
      <c r="C22" s="13" t="str">
        <f t="shared" si="1"/>
        <v>Dortmund</v>
      </c>
      <c r="D22" s="13" t="str">
        <f t="shared" si="2"/>
        <v>Bundesliga</v>
      </c>
      <c r="E22" s="13" t="str">
        <f t="shared" si="3"/>
        <v>Signal Iduna Park</v>
      </c>
      <c r="F22" s="13">
        <f t="shared" si="4"/>
        <v>81365</v>
      </c>
      <c r="G22" s="13">
        <f t="shared" si="5"/>
        <v>45</v>
      </c>
      <c r="H22" s="13" t="str">
        <f t="shared" si="6"/>
        <v>Terzic</v>
      </c>
      <c r="I22" s="13">
        <f t="shared" si="7"/>
        <v>3060000</v>
      </c>
      <c r="J22" s="17">
        <f t="shared" si="8"/>
        <v>0.83574018312542253</v>
      </c>
    </row>
    <row r="24" spans="1:10" ht="15.75" x14ac:dyDescent="0.25">
      <c r="A24" s="45" t="s">
        <v>228</v>
      </c>
    </row>
    <row r="26" spans="1:10" x14ac:dyDescent="0.25">
      <c r="A26" s="62" t="s">
        <v>229</v>
      </c>
      <c r="B26" s="13" t="s">
        <v>57</v>
      </c>
      <c r="C26" s="62" t="s">
        <v>230</v>
      </c>
      <c r="D26" s="13" t="s">
        <v>41</v>
      </c>
    </row>
    <row r="28" spans="1:10" x14ac:dyDescent="0.25">
      <c r="A28" s="62" t="s">
        <v>242</v>
      </c>
    </row>
    <row r="29" spans="1:10" x14ac:dyDescent="0.25">
      <c r="A29" s="66" t="s">
        <v>243</v>
      </c>
    </row>
    <row r="31" spans="1:10" x14ac:dyDescent="0.25">
      <c r="A31" s="67" t="s">
        <v>231</v>
      </c>
      <c r="D31" s="67" t="s">
        <v>232</v>
      </c>
      <c r="G31" s="67" t="s">
        <v>233</v>
      </c>
    </row>
    <row r="32" spans="1:10" x14ac:dyDescent="0.25">
      <c r="A32" s="68" t="s">
        <v>40</v>
      </c>
      <c r="B32" s="68" t="str" cm="1">
        <f t="array" ref="B32:C39">_xlfn.CHOOSECOLS(_xlfn._xlws.FILTER(C15:J22,J15:J22&gt;0.6),1,7)</f>
        <v>Real Madrid</v>
      </c>
      <c r="C32">
        <v>4350000</v>
      </c>
      <c r="D32" s="68" t="s">
        <v>40</v>
      </c>
      <c r="E32" s="68" t="str" cm="1">
        <f t="array" ref="E32:F35">_xlfn.LET(_xlpm.avgRev,AVERAGE(I15:I22),_xlfn.CHOOSECOLS(_xlfn._xlws.FILTER(C15:J22,I15:I22&gt;_xlpm.avgRev),1,7))</f>
        <v>Real Madrid</v>
      </c>
      <c r="F32">
        <v>4350000</v>
      </c>
      <c r="G32" s="68" t="s">
        <v>40</v>
      </c>
      <c r="H32" s="68" t="str" cm="1">
        <f t="array" ref="H32:I35">_xlfn.VSTACK(_xlfn.CHOOSECOLS(_xlfn._xlws.FILTER(C15:J22,D15:D22="La Liga"),1,2),_xlfn.CHOOSECOLS(_xlfn._xlws.FILTER(C15:J22,D15:D22="Bundesliga"),1,2))</f>
        <v>Real Madrid</v>
      </c>
      <c r="I32" t="str">
        <v>La Liga</v>
      </c>
    </row>
    <row r="33" spans="1:13" x14ac:dyDescent="0.25">
      <c r="A33" s="13"/>
      <c r="B33" s="13" t="str">
        <v>FC Barcelona</v>
      </c>
      <c r="C33">
        <v>5400000</v>
      </c>
      <c r="D33" s="13"/>
      <c r="E33" s="13" t="str">
        <v>FC Barcelona</v>
      </c>
      <c r="F33">
        <v>5400000</v>
      </c>
      <c r="G33" s="13"/>
      <c r="H33" s="13" t="str">
        <v>FC Barcelona</v>
      </c>
      <c r="I33" t="str">
        <v>La Liga</v>
      </c>
    </row>
    <row r="34" spans="1:13" x14ac:dyDescent="0.25">
      <c r="A34" s="13"/>
      <c r="B34" s="13" t="str">
        <v>Manchester United</v>
      </c>
      <c r="C34">
        <v>4420000</v>
      </c>
      <c r="D34" s="13"/>
      <c r="E34" s="13" t="str">
        <v>Manchester United</v>
      </c>
      <c r="F34">
        <v>4420000</v>
      </c>
      <c r="G34" s="13"/>
      <c r="H34" s="13" t="str">
        <v>Bayern Munich</v>
      </c>
      <c r="I34" t="str">
        <v>Bundesliga</v>
      </c>
    </row>
    <row r="35" spans="1:13" x14ac:dyDescent="0.25">
      <c r="A35" s="13"/>
      <c r="B35" s="13" t="str">
        <v>Bayern Munich</v>
      </c>
      <c r="C35">
        <v>2745000</v>
      </c>
      <c r="D35" s="13"/>
      <c r="E35" s="13" t="str">
        <v>Liverpool</v>
      </c>
      <c r="F35">
        <v>3910000</v>
      </c>
      <c r="G35" s="13"/>
      <c r="H35" s="13" t="str">
        <v>Dortmund</v>
      </c>
      <c r="I35" t="str">
        <v>Bundesliga</v>
      </c>
    </row>
    <row r="36" spans="1:13" x14ac:dyDescent="0.25">
      <c r="A36" s="13"/>
      <c r="B36" s="13" t="str">
        <v>Paris SG</v>
      </c>
      <c r="C36">
        <v>2090000</v>
      </c>
      <c r="D36" s="13"/>
      <c r="E36" s="13"/>
      <c r="G36" s="13"/>
      <c r="H36" s="13"/>
    </row>
    <row r="37" spans="1:13" x14ac:dyDescent="0.25">
      <c r="A37" s="13"/>
      <c r="B37" s="13" t="str">
        <v>Liverpool</v>
      </c>
      <c r="C37">
        <v>3910000</v>
      </c>
      <c r="D37" s="13"/>
      <c r="E37" s="13"/>
      <c r="G37" s="13"/>
      <c r="H37" s="13"/>
    </row>
    <row r="38" spans="1:13" x14ac:dyDescent="0.25">
      <c r="A38" s="13"/>
      <c r="B38" s="13" t="str">
        <v>Juventus</v>
      </c>
      <c r="C38">
        <v>1750000</v>
      </c>
      <c r="D38" s="13"/>
      <c r="E38" s="13"/>
      <c r="G38" s="13"/>
      <c r="H38" s="13"/>
    </row>
    <row r="39" spans="1:13" x14ac:dyDescent="0.25">
      <c r="A39" s="13"/>
      <c r="B39" s="13" t="str">
        <v>Dortmund</v>
      </c>
      <c r="C39">
        <v>3060000</v>
      </c>
      <c r="D39" s="13"/>
      <c r="E39" s="13"/>
      <c r="G39" s="13"/>
      <c r="H39" s="13"/>
    </row>
    <row r="40" spans="1:13" x14ac:dyDescent="0.25">
      <c r="A40" s="13"/>
      <c r="B40" s="13"/>
      <c r="D40" s="13"/>
      <c r="E40" s="13"/>
      <c r="G40" s="13"/>
      <c r="H40" s="13"/>
    </row>
    <row r="46" spans="1:13" x14ac:dyDescent="0.25">
      <c r="A46" s="21" t="s">
        <v>234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3" x14ac:dyDescent="0.25">
      <c r="A47" s="73" t="s">
        <v>209</v>
      </c>
      <c r="B47" s="74"/>
      <c r="C47" s="74"/>
      <c r="D47" s="74"/>
      <c r="E47" s="60" cm="1">
        <f t="array" ref="E47">SUMPRODUCT((J15:J22&gt;0.6)*(F15:F22&gt;50000)*I15:I22)</f>
        <v>23885000</v>
      </c>
      <c r="F47" s="13"/>
      <c r="G47" s="74"/>
      <c r="H47" s="90" t="s">
        <v>249</v>
      </c>
      <c r="I47" s="79">
        <v>2</v>
      </c>
      <c r="J47" s="11">
        <v>1</v>
      </c>
      <c r="K47" s="10">
        <f>J47*I47</f>
        <v>2</v>
      </c>
      <c r="L47" s="75"/>
      <c r="M47" s="75"/>
    </row>
    <row r="48" spans="1:13" x14ac:dyDescent="0.25">
      <c r="A48" s="73" t="s">
        <v>210</v>
      </c>
      <c r="B48" s="74"/>
      <c r="C48" s="74"/>
      <c r="D48" s="74"/>
      <c r="E48" s="60" cm="1">
        <f t="array" ref="E48">SUMPRODUCT((D15:D22="Premier League")*B15:B22)/SUM(B15:B22)</f>
        <v>0.22790697674418606</v>
      </c>
      <c r="F48" s="13"/>
      <c r="G48" s="74"/>
      <c r="H48" s="90" t="s">
        <v>250</v>
      </c>
      <c r="I48" s="79">
        <v>5</v>
      </c>
      <c r="J48" s="11">
        <v>1</v>
      </c>
      <c r="K48" s="10">
        <f>J48*I48</f>
        <v>5</v>
      </c>
      <c r="L48" s="75"/>
      <c r="M48" s="75"/>
    </row>
    <row r="49" spans="1:16" x14ac:dyDescent="0.25">
      <c r="A49" s="73" t="s">
        <v>211</v>
      </c>
      <c r="B49" s="74"/>
      <c r="C49" s="74"/>
      <c r="D49" s="74"/>
      <c r="E49" s="60" cm="1">
        <f t="array" ref="E49">SUMPRODUCT((G15:G22&gt;AVERAGE(G15:G22))*(J15:J22&gt;AVERAGE(J15:J22)))</f>
        <v>1</v>
      </c>
      <c r="F49" s="13"/>
      <c r="G49" s="74"/>
      <c r="H49" s="90" t="s">
        <v>251</v>
      </c>
      <c r="I49" s="79">
        <v>5</v>
      </c>
      <c r="J49" s="11">
        <v>1</v>
      </c>
      <c r="K49" s="10">
        <f>J49*I49</f>
        <v>5</v>
      </c>
      <c r="L49" s="75"/>
      <c r="M49" s="75"/>
    </row>
    <row r="50" spans="1:16" x14ac:dyDescent="0.25">
      <c r="A50" s="73" t="s">
        <v>212</v>
      </c>
      <c r="B50" s="74"/>
      <c r="C50" s="74"/>
      <c r="D50" s="74"/>
      <c r="E50" s="60" cm="1">
        <f t="array" ref="E50">AVERAGE(_xlfn._xlws.FILTER(F15:F22,(I15:I22&gt;3000000)*((D15:D22="La Liga")+(D15:D22="Bundesliga"))))</f>
        <v>87254.333333333328</v>
      </c>
      <c r="F50" s="13"/>
      <c r="G50" s="74"/>
      <c r="H50" s="91" t="s">
        <v>252</v>
      </c>
      <c r="I50" s="80">
        <v>5</v>
      </c>
      <c r="J50" s="16">
        <v>1</v>
      </c>
      <c r="K50" s="15">
        <f>J50*I50</f>
        <v>5</v>
      </c>
      <c r="L50" s="75"/>
      <c r="M50" s="75"/>
    </row>
    <row r="51" spans="1:16" x14ac:dyDescent="0.25">
      <c r="I51" s="35">
        <f>SUM(I47:I50)+SUM(N3:N12)</f>
        <v>45</v>
      </c>
      <c r="J51" s="35" t="s">
        <v>173</v>
      </c>
      <c r="K51" s="81">
        <f>SUM(K47:K50)+SUM(P3:P12)</f>
        <v>45</v>
      </c>
    </row>
    <row r="53" spans="1:16" ht="15.75" x14ac:dyDescent="0.25">
      <c r="A53" s="22" t="s">
        <v>55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5" spans="1:16" x14ac:dyDescent="0.25">
      <c r="A55" s="6" t="s">
        <v>38</v>
      </c>
      <c r="B55" s="6" t="s">
        <v>40</v>
      </c>
      <c r="C55" s="6" t="s">
        <v>41</v>
      </c>
      <c r="D55" s="6" t="s">
        <v>42</v>
      </c>
      <c r="F55" s="6" t="s">
        <v>41</v>
      </c>
      <c r="G55" s="6" t="s">
        <v>44</v>
      </c>
      <c r="I55" s="6" t="s">
        <v>38</v>
      </c>
      <c r="J55" s="6" t="s">
        <v>41</v>
      </c>
      <c r="K55" s="6" t="s">
        <v>56</v>
      </c>
    </row>
    <row r="56" spans="1:16" x14ac:dyDescent="0.25">
      <c r="A56" t="s">
        <v>47</v>
      </c>
      <c r="B56" t="s">
        <v>57</v>
      </c>
      <c r="C56" t="s">
        <v>58</v>
      </c>
      <c r="D56" t="s">
        <v>59</v>
      </c>
      <c r="F56" t="s">
        <v>58</v>
      </c>
      <c r="G56" s="2">
        <v>75</v>
      </c>
      <c r="I56" t="s">
        <v>47</v>
      </c>
      <c r="J56" t="s">
        <v>58</v>
      </c>
      <c r="K56" t="s">
        <v>60</v>
      </c>
    </row>
    <row r="57" spans="1:16" x14ac:dyDescent="0.25">
      <c r="A57" t="s">
        <v>48</v>
      </c>
      <c r="B57" t="s">
        <v>61</v>
      </c>
      <c r="C57" t="s">
        <v>58</v>
      </c>
      <c r="D57" t="s">
        <v>62</v>
      </c>
      <c r="F57" t="s">
        <v>63</v>
      </c>
      <c r="G57" s="2">
        <v>85</v>
      </c>
      <c r="I57" t="s">
        <v>48</v>
      </c>
      <c r="J57" t="s">
        <v>58</v>
      </c>
      <c r="K57" t="s">
        <v>64</v>
      </c>
    </row>
    <row r="58" spans="1:16" x14ac:dyDescent="0.25">
      <c r="A58" t="s">
        <v>49</v>
      </c>
      <c r="B58" t="s">
        <v>65</v>
      </c>
      <c r="C58" t="s">
        <v>63</v>
      </c>
      <c r="D58" t="s">
        <v>66</v>
      </c>
      <c r="F58" t="s">
        <v>67</v>
      </c>
      <c r="G58" s="2">
        <v>45</v>
      </c>
      <c r="I58" t="s">
        <v>49</v>
      </c>
      <c r="J58" t="s">
        <v>63</v>
      </c>
      <c r="K58" t="s">
        <v>68</v>
      </c>
    </row>
    <row r="59" spans="1:16" x14ac:dyDescent="0.25">
      <c r="A59" t="s">
        <v>50</v>
      </c>
      <c r="B59" t="s">
        <v>69</v>
      </c>
      <c r="C59" t="s">
        <v>67</v>
      </c>
      <c r="D59" t="s">
        <v>70</v>
      </c>
      <c r="F59" t="s">
        <v>71</v>
      </c>
      <c r="G59" s="2">
        <v>55</v>
      </c>
      <c r="I59" t="s">
        <v>50</v>
      </c>
      <c r="J59" t="s">
        <v>67</v>
      </c>
      <c r="K59" t="s">
        <v>72</v>
      </c>
    </row>
    <row r="60" spans="1:16" x14ac:dyDescent="0.25">
      <c r="A60" t="s">
        <v>51</v>
      </c>
      <c r="B60" t="s">
        <v>73</v>
      </c>
      <c r="C60" t="s">
        <v>71</v>
      </c>
      <c r="D60" t="s">
        <v>74</v>
      </c>
      <c r="F60" t="s">
        <v>75</v>
      </c>
      <c r="G60" s="2">
        <v>50</v>
      </c>
      <c r="I60" t="s">
        <v>51</v>
      </c>
      <c r="J60" t="s">
        <v>71</v>
      </c>
      <c r="K60" t="s">
        <v>76</v>
      </c>
    </row>
    <row r="61" spans="1:16" x14ac:dyDescent="0.25">
      <c r="A61" t="s">
        <v>52</v>
      </c>
      <c r="B61" t="s">
        <v>77</v>
      </c>
      <c r="C61" t="s">
        <v>63</v>
      </c>
      <c r="D61" t="s">
        <v>78</v>
      </c>
      <c r="I61" t="s">
        <v>52</v>
      </c>
      <c r="J61" t="s">
        <v>63</v>
      </c>
      <c r="K61" t="s">
        <v>79</v>
      </c>
    </row>
    <row r="62" spans="1:16" x14ac:dyDescent="0.25">
      <c r="A62" t="s">
        <v>53</v>
      </c>
      <c r="B62" t="s">
        <v>80</v>
      </c>
      <c r="C62" t="s">
        <v>75</v>
      </c>
      <c r="D62" t="s">
        <v>81</v>
      </c>
      <c r="I62" t="s">
        <v>53</v>
      </c>
      <c r="J62" t="s">
        <v>75</v>
      </c>
      <c r="K62" t="s">
        <v>82</v>
      </c>
    </row>
    <row r="63" spans="1:16" x14ac:dyDescent="0.25">
      <c r="A63" t="s">
        <v>54</v>
      </c>
      <c r="B63" t="s">
        <v>83</v>
      </c>
      <c r="C63" t="s">
        <v>67</v>
      </c>
      <c r="D63" t="s">
        <v>84</v>
      </c>
      <c r="I63" t="s">
        <v>54</v>
      </c>
      <c r="J63" t="s">
        <v>67</v>
      </c>
      <c r="K63" t="s">
        <v>85</v>
      </c>
    </row>
    <row r="65" spans="1:2" x14ac:dyDescent="0.25">
      <c r="A65" s="6" t="s">
        <v>42</v>
      </c>
      <c r="B65" s="6" t="s">
        <v>43</v>
      </c>
    </row>
    <row r="66" spans="1:2" x14ac:dyDescent="0.25">
      <c r="A66" t="s">
        <v>59</v>
      </c>
      <c r="B66">
        <v>81044</v>
      </c>
    </row>
    <row r="67" spans="1:2" x14ac:dyDescent="0.25">
      <c r="A67" t="s">
        <v>62</v>
      </c>
      <c r="B67">
        <v>99354</v>
      </c>
    </row>
    <row r="68" spans="1:2" x14ac:dyDescent="0.25">
      <c r="A68" t="s">
        <v>66</v>
      </c>
      <c r="B68">
        <v>74140</v>
      </c>
    </row>
    <row r="69" spans="1:2" x14ac:dyDescent="0.25">
      <c r="A69" t="s">
        <v>70</v>
      </c>
      <c r="B69">
        <v>75024</v>
      </c>
    </row>
    <row r="70" spans="1:2" x14ac:dyDescent="0.25">
      <c r="A70" t="s">
        <v>74</v>
      </c>
      <c r="B70">
        <v>47929</v>
      </c>
    </row>
    <row r="71" spans="1:2" x14ac:dyDescent="0.25">
      <c r="A71" t="s">
        <v>78</v>
      </c>
      <c r="B71">
        <v>53394</v>
      </c>
    </row>
    <row r="72" spans="1:2" x14ac:dyDescent="0.25">
      <c r="A72" t="s">
        <v>81</v>
      </c>
      <c r="B72">
        <v>41507</v>
      </c>
    </row>
    <row r="73" spans="1:2" x14ac:dyDescent="0.25">
      <c r="A73" t="s">
        <v>84</v>
      </c>
      <c r="B73">
        <v>81365</v>
      </c>
    </row>
  </sheetData>
  <mergeCells count="3">
    <mergeCell ref="A46:K46"/>
    <mergeCell ref="A53:P53"/>
    <mergeCell ref="A1:P1"/>
  </mergeCells>
  <conditionalFormatting sqref="C15:J22">
    <cfRule type="expression" dxfId="8" priority="1">
      <formula>AND($C15=B$26,C$14=D$26)</formula>
    </cfRule>
  </conditionalFormatting>
  <dataValidations disablePrompts="1" count="3">
    <dataValidation type="list" allowBlank="1" showInputMessage="1" showErrorMessage="1" sqref="A15:A22" xr:uid="{B353CC26-BF8E-4CD8-B2B8-1ADA633DC600}">
      <formula1>$A$15:$A$22</formula1>
    </dataValidation>
    <dataValidation type="list" allowBlank="1" showInputMessage="1" showErrorMessage="1" sqref="B26" xr:uid="{2CF02D5C-55CB-4260-A0C7-C6D6F595A893}">
      <formula1>"Real Madrid,FC Barcelona,Manchester United,Bayern Munich,Paris SG,Liverpool,Juventus,Dortmund"</formula1>
    </dataValidation>
    <dataValidation type="list" allowBlank="1" showInputMessage="1" showErrorMessage="1" sqref="D26" xr:uid="{950F9584-CE92-417F-A43A-94A4E4FC2767}">
      <formula1>"League,Stadium,Capacity,Ticket Price,Coach Name,Revenue,Attendance 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topLeftCell="A6" workbookViewId="0">
      <selection activeCell="A31" sqref="A31:A40"/>
    </sheetView>
  </sheetViews>
  <sheetFormatPr defaultRowHeight="15" x14ac:dyDescent="0.25"/>
  <cols>
    <col min="1" max="1" width="35.140625" customWidth="1"/>
    <col min="2" max="3" width="11" customWidth="1"/>
    <col min="4" max="4" width="8" customWidth="1"/>
    <col min="5" max="6" width="12" customWidth="1"/>
    <col min="7" max="7" width="18" customWidth="1"/>
    <col min="8" max="8" width="12" customWidth="1"/>
    <col min="9" max="9" width="28" customWidth="1"/>
    <col min="10" max="10" width="9" customWidth="1"/>
    <col min="11" max="11" width="10" customWidth="1"/>
    <col min="12" max="12" width="6" customWidth="1"/>
    <col min="13" max="13" width="20" customWidth="1"/>
    <col min="14" max="14" width="14" customWidth="1"/>
  </cols>
  <sheetData>
    <row r="1" spans="1:16" ht="24.95" customHeight="1" x14ac:dyDescent="0.25">
      <c r="A1" s="18" t="s">
        <v>86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6" x14ac:dyDescent="0.25">
      <c r="A3" s="62" t="s">
        <v>193</v>
      </c>
      <c r="B3" s="62"/>
      <c r="C3" s="62"/>
      <c r="D3" s="62"/>
      <c r="E3" s="62"/>
    </row>
    <row r="4" spans="1:16" x14ac:dyDescent="0.25">
      <c r="A4" s="62" t="s">
        <v>194</v>
      </c>
      <c r="B4" s="62"/>
      <c r="C4" s="62"/>
      <c r="D4" s="62"/>
      <c r="E4" s="62"/>
    </row>
    <row r="5" spans="1:16" x14ac:dyDescent="0.25">
      <c r="A5" s="62" t="s">
        <v>195</v>
      </c>
      <c r="B5" s="62"/>
      <c r="C5" s="62"/>
      <c r="D5" s="62"/>
      <c r="E5" s="62"/>
    </row>
    <row r="6" spans="1:16" x14ac:dyDescent="0.25">
      <c r="A6" s="62" t="s">
        <v>196</v>
      </c>
      <c r="B6" s="62"/>
      <c r="C6" s="62"/>
      <c r="D6" s="62"/>
      <c r="E6" s="62"/>
    </row>
    <row r="7" spans="1:16" x14ac:dyDescent="0.25">
      <c r="A7" s="62" t="s">
        <v>197</v>
      </c>
      <c r="B7" s="62"/>
      <c r="C7" s="62"/>
      <c r="D7" s="62"/>
      <c r="E7" s="62"/>
    </row>
    <row r="8" spans="1:16" x14ac:dyDescent="0.25">
      <c r="A8" s="62" t="s">
        <v>198</v>
      </c>
      <c r="B8" s="62"/>
      <c r="C8" s="62"/>
      <c r="D8" s="62"/>
      <c r="E8" s="62"/>
    </row>
    <row r="9" spans="1:16" x14ac:dyDescent="0.25">
      <c r="A9" s="62" t="s">
        <v>87</v>
      </c>
      <c r="B9" s="62"/>
      <c r="C9" s="62"/>
      <c r="D9" s="62"/>
      <c r="E9" s="62"/>
    </row>
    <row r="10" spans="1:16" x14ac:dyDescent="0.25">
      <c r="A10" s="62" t="s">
        <v>88</v>
      </c>
      <c r="B10" s="62"/>
      <c r="C10" s="62"/>
      <c r="D10" s="62"/>
      <c r="E10" s="62"/>
    </row>
    <row r="11" spans="1:16" x14ac:dyDescent="0.25">
      <c r="A11" s="62" t="s">
        <v>213</v>
      </c>
      <c r="B11" s="62"/>
      <c r="C11" s="62"/>
      <c r="D11" s="62"/>
      <c r="E11" s="62"/>
    </row>
    <row r="12" spans="1:16" x14ac:dyDescent="0.25">
      <c r="A12" s="62" t="s">
        <v>253</v>
      </c>
      <c r="B12" s="62"/>
      <c r="C12" s="62"/>
      <c r="D12" s="62"/>
      <c r="E12" s="62"/>
    </row>
    <row r="13" spans="1:16" x14ac:dyDescent="0.25">
      <c r="A13" s="62"/>
      <c r="B13" s="62"/>
      <c r="C13" s="62"/>
      <c r="D13" s="62"/>
      <c r="E13" s="62"/>
    </row>
    <row r="14" spans="1:16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6" x14ac:dyDescent="0.25">
      <c r="A15" s="61"/>
      <c r="B15" s="61"/>
      <c r="C15" s="61"/>
      <c r="D15" s="61"/>
      <c r="E15" s="61"/>
      <c r="F15" s="61"/>
      <c r="G15" s="65" t="s">
        <v>218</v>
      </c>
      <c r="H15" s="65" t="s">
        <v>219</v>
      </c>
      <c r="I15" s="65" t="s">
        <v>220</v>
      </c>
      <c r="J15" s="65" t="s">
        <v>221</v>
      </c>
      <c r="K15" s="65" t="s">
        <v>222</v>
      </c>
      <c r="L15" s="65" t="s">
        <v>223</v>
      </c>
      <c r="M15" s="65" t="s">
        <v>224</v>
      </c>
      <c r="N15" s="65" t="s">
        <v>225</v>
      </c>
      <c r="O15" s="65" t="s">
        <v>226</v>
      </c>
      <c r="P15" s="65" t="s">
        <v>227</v>
      </c>
    </row>
    <row r="16" spans="1:16" ht="24" x14ac:dyDescent="0.25">
      <c r="A16" s="7" t="s">
        <v>89</v>
      </c>
      <c r="B16" s="7" t="s">
        <v>90</v>
      </c>
      <c r="C16" s="7" t="s">
        <v>91</v>
      </c>
      <c r="D16" s="7" t="s">
        <v>4</v>
      </c>
      <c r="E16" s="7" t="s">
        <v>92</v>
      </c>
      <c r="F16" s="7"/>
      <c r="G16" s="7" t="s">
        <v>93</v>
      </c>
      <c r="H16" s="7" t="s">
        <v>94</v>
      </c>
      <c r="I16" s="7" t="s">
        <v>95</v>
      </c>
      <c r="J16" s="7" t="s">
        <v>96</v>
      </c>
      <c r="K16" s="7" t="s">
        <v>97</v>
      </c>
      <c r="L16" s="7" t="s">
        <v>5</v>
      </c>
      <c r="M16" s="7" t="s">
        <v>98</v>
      </c>
      <c r="N16" s="7" t="s">
        <v>99</v>
      </c>
      <c r="O16" s="43" t="s">
        <v>214</v>
      </c>
      <c r="P16" s="43" t="s">
        <v>215</v>
      </c>
    </row>
    <row r="17" spans="1:16" x14ac:dyDescent="0.25">
      <c r="A17" t="s">
        <v>100</v>
      </c>
      <c r="B17" t="s">
        <v>101</v>
      </c>
      <c r="C17" t="s">
        <v>102</v>
      </c>
      <c r="D17" t="s">
        <v>23</v>
      </c>
      <c r="E17" s="3">
        <v>35869</v>
      </c>
      <c r="F17" s="3"/>
      <c r="G17" s="13" t="str">
        <f>TRIM(CLEAN(SUBSTITUTE(SUBSTITUTE(SUBSTITUTE(SUBSTITUTE(A17,_xlfn.UNICHAR(8203),""),_xlfn.UNICHAR(8204),""),_xlfn.UNICHAR(65279),"")," ","")))</f>
        <v>REG2020001@RealMadrid</v>
      </c>
      <c r="H17" s="13" t="str">
        <f>MID(G17,FIND("@",G17)+1,LEN(G17))</f>
        <v>RealMadrid</v>
      </c>
      <c r="I17" s="13" t="str">
        <f>LOWER(LEFT(G17,FIND("@",G17)-1))&amp;"@"&amp;LOWER(H17)&amp;".com"</f>
        <v>reg2020001@realmadrid.com</v>
      </c>
      <c r="J17" s="13" t="str">
        <f>MID(G17,FIND("REG",G17)+3,4)</f>
        <v>2020</v>
      </c>
      <c r="K17" s="13" t="str">
        <f>MID(G17,FIND("REG",G17)+7,3)</f>
        <v>001</v>
      </c>
      <c r="L17" s="13">
        <f ca="1">DATEDIF(E17,TODAY(),"Y")</f>
        <v>27</v>
      </c>
      <c r="M17" s="13" t="str">
        <f>PROPER(C17)&amp;", "&amp;PROPER(B17)</f>
        <v>Martinez, Lionel</v>
      </c>
      <c r="N17" s="13" t="str">
        <f>LOWER(LEFT(C17,3)&amp;RIGHT(J17,2)&amp;K17)</f>
        <v>mar20001</v>
      </c>
      <c r="O17" s="13" t="str">
        <f>_xlfn.LET(_xlpm.fn,PROPER(B17),_xlpm.ln,PROPER(C17),_xlfn.TEXTJOIN(" ",TRUE,_xlpm.fn,_xlpm.ln,"("&amp;D17&amp;")"))</f>
        <v>Lionel Martinez (FW)</v>
      </c>
      <c r="P17" s="13" t="str" cm="1">
        <f t="array" ref="P17">CLEANID(A17)</f>
        <v>REG2020001@RealMadrid</v>
      </c>
    </row>
    <row r="18" spans="1:16" x14ac:dyDescent="0.25">
      <c r="A18" t="s">
        <v>103</v>
      </c>
      <c r="B18" t="s">
        <v>104</v>
      </c>
      <c r="C18" t="s">
        <v>105</v>
      </c>
      <c r="D18" t="s">
        <v>25</v>
      </c>
      <c r="E18" s="3">
        <v>34537</v>
      </c>
      <c r="F18" s="3"/>
      <c r="G18" s="13" t="str">
        <f t="shared" ref="G18:G26" si="0">TRIM(CLEAN(SUBSTITUTE(SUBSTITUTE(SUBSTITUTE(SUBSTITUTE(A18,_xlfn.UNICHAR(8203),""),_xlfn.UNICHAR(8204),""),_xlfn.UNICHAR(65279),"")," ","")))</f>
        <v>REG2019000@Barcelona</v>
      </c>
      <c r="H18" s="13" t="str">
        <f t="shared" ref="H18:H26" si="1">MID(G18,FIND("@",G18)+1,LEN(G18))</f>
        <v>Barcelona</v>
      </c>
      <c r="I18" s="13" t="str">
        <f t="shared" ref="I18:I26" si="2">LOWER(LEFT(G18,FIND("@",G18)-1))&amp;"@"&amp;LOWER(H18)&amp;".com"</f>
        <v>reg2019000@barcelona.com</v>
      </c>
      <c r="J18" s="13" t="str">
        <f t="shared" ref="J18:J26" si="3">MID(G18,FIND("REG",G18)+3,4)</f>
        <v>2019</v>
      </c>
      <c r="K18" s="13" t="str">
        <f t="shared" ref="K18:K26" si="4">MID(G18,FIND("REG",G18)+7,3)</f>
        <v>000</v>
      </c>
      <c r="L18" s="13">
        <f t="shared" ref="L18:L26" ca="1" si="5">DATEDIF(E18,TODAY(),"Y")</f>
        <v>31</v>
      </c>
      <c r="M18" s="13" t="str">
        <f t="shared" ref="M18:M26" si="6">PROPER(C18)&amp;", "&amp;PROPER(B18)</f>
        <v>Rodriguez, Cristian</v>
      </c>
      <c r="N18" s="13" t="str">
        <f t="shared" ref="N18:N26" si="7">LOWER(LEFT(C18,3)&amp;RIGHT(J18,2)&amp;K18)</f>
        <v>rod19000</v>
      </c>
      <c r="O18" s="13" t="str">
        <f t="shared" ref="O18:O26" si="8">_xlfn.LET(_xlpm.fn,PROPER(B18),_xlpm.ln,PROPER(C18),_xlfn.TEXTJOIN(" ",TRUE,_xlpm.fn,_xlpm.ln,"("&amp;D18&amp;")"))</f>
        <v>Cristian Rodriguez (MF)</v>
      </c>
      <c r="P18" s="13" t="str" cm="1">
        <f t="array" ref="P18">CLEANID(A18)</f>
        <v>REG2019000@Barcelona</v>
      </c>
    </row>
    <row r="19" spans="1:16" x14ac:dyDescent="0.25">
      <c r="A19" t="s">
        <v>106</v>
      </c>
      <c r="B19" t="s">
        <v>107</v>
      </c>
      <c r="C19" t="s">
        <v>108</v>
      </c>
      <c r="D19" t="s">
        <v>25</v>
      </c>
      <c r="E19" s="3">
        <v>36472</v>
      </c>
      <c r="F19" s="3"/>
      <c r="G19" s="13" t="str">
        <f t="shared" si="0"/>
        <v>REG2021156@ManUtd</v>
      </c>
      <c r="H19" s="13" t="str">
        <f t="shared" si="1"/>
        <v>ManUtd</v>
      </c>
      <c r="I19" s="13" t="str">
        <f t="shared" si="2"/>
        <v>reg2021156@manutd.com</v>
      </c>
      <c r="J19" s="13" t="str">
        <f t="shared" si="3"/>
        <v>2021</v>
      </c>
      <c r="K19" s="13" t="str">
        <f t="shared" si="4"/>
        <v>156</v>
      </c>
      <c r="L19" s="13">
        <f t="shared" ca="1" si="5"/>
        <v>26</v>
      </c>
      <c r="M19" s="13" t="str">
        <f t="shared" si="6"/>
        <v>Anderson, Kevin</v>
      </c>
      <c r="N19" s="13" t="str">
        <f t="shared" si="7"/>
        <v>and21156</v>
      </c>
      <c r="O19" s="13" t="str">
        <f t="shared" si="8"/>
        <v>Kevin Anderson (MF)</v>
      </c>
      <c r="P19" s="13" t="str" cm="1">
        <f t="array" ref="P19">CLEANID(A19)</f>
        <v>REG2021156@ManUtd</v>
      </c>
    </row>
    <row r="20" spans="1:16" x14ac:dyDescent="0.25">
      <c r="A20" t="s">
        <v>109</v>
      </c>
      <c r="B20" t="s">
        <v>110</v>
      </c>
      <c r="C20" t="s">
        <v>111</v>
      </c>
      <c r="D20" t="s">
        <v>23</v>
      </c>
      <c r="E20" s="3">
        <v>34849</v>
      </c>
      <c r="F20" s="3"/>
      <c r="G20" s="13" t="str">
        <f t="shared" si="0"/>
        <v>REG2018234@Bayern</v>
      </c>
      <c r="H20" s="13" t="str">
        <f t="shared" si="1"/>
        <v>Bayern</v>
      </c>
      <c r="I20" s="13" t="str">
        <f t="shared" si="2"/>
        <v>reg2018234@bayern.com</v>
      </c>
      <c r="J20" s="13" t="str">
        <f t="shared" si="3"/>
        <v>2018</v>
      </c>
      <c r="K20" s="13" t="str">
        <f t="shared" si="4"/>
        <v>234</v>
      </c>
      <c r="L20" s="13">
        <f t="shared" ca="1" si="5"/>
        <v>30</v>
      </c>
      <c r="M20" s="13" t="str">
        <f t="shared" si="6"/>
        <v>Silva, Robert</v>
      </c>
      <c r="N20" s="13" t="str">
        <f t="shared" si="7"/>
        <v>sil18234</v>
      </c>
      <c r="O20" s="13" t="str">
        <f t="shared" si="8"/>
        <v>Robert Silva (FW)</v>
      </c>
      <c r="P20" s="13" t="str" cm="1">
        <f t="array" ref="P20">CLEANID(A20)</f>
        <v>REG2018234@Bayern</v>
      </c>
    </row>
    <row r="21" spans="1:16" x14ac:dyDescent="0.25">
      <c r="A21" t="s">
        <v>112</v>
      </c>
      <c r="B21" t="s">
        <v>113</v>
      </c>
      <c r="C21" t="s">
        <v>114</v>
      </c>
      <c r="D21" t="s">
        <v>29</v>
      </c>
      <c r="E21" s="3">
        <v>37146</v>
      </c>
      <c r="F21" s="3"/>
      <c r="G21" s="13" t="str">
        <f t="shared" si="0"/>
        <v>REG2022089@PSG</v>
      </c>
      <c r="H21" s="13" t="str">
        <f t="shared" si="1"/>
        <v>PSG</v>
      </c>
      <c r="I21" s="13" t="str">
        <f t="shared" si="2"/>
        <v>reg2022089@psg.com</v>
      </c>
      <c r="J21" s="13" t="str">
        <f t="shared" si="3"/>
        <v>2022</v>
      </c>
      <c r="K21" s="13" t="str">
        <f t="shared" si="4"/>
        <v>089</v>
      </c>
      <c r="L21" s="13">
        <f t="shared" ca="1" si="5"/>
        <v>24</v>
      </c>
      <c r="M21" s="13" t="str">
        <f t="shared" si="6"/>
        <v>Hassan, Mohamed</v>
      </c>
      <c r="N21" s="13" t="str">
        <f t="shared" si="7"/>
        <v>has22089</v>
      </c>
      <c r="O21" s="13" t="str">
        <f t="shared" si="8"/>
        <v>Mohamed Hassan (DF)</v>
      </c>
      <c r="P21" s="13" t="str" cm="1">
        <f t="array" ref="P21">CLEANID(A21)</f>
        <v>REG2022089@PSG</v>
      </c>
    </row>
    <row r="22" spans="1:16" x14ac:dyDescent="0.25">
      <c r="A22" t="s">
        <v>115</v>
      </c>
      <c r="B22" t="s">
        <v>116</v>
      </c>
      <c r="C22" t="s">
        <v>117</v>
      </c>
      <c r="D22" t="s">
        <v>23</v>
      </c>
      <c r="E22" s="3">
        <v>35479</v>
      </c>
      <c r="F22" s="3"/>
      <c r="G22" s="13" t="str">
        <f t="shared" si="0"/>
        <v>REG2020045@Liverpool</v>
      </c>
      <c r="H22" s="13" t="str">
        <f t="shared" si="1"/>
        <v>Liverpool</v>
      </c>
      <c r="I22" s="13" t="str">
        <f t="shared" si="2"/>
        <v>reg2020045@liverpool.com</v>
      </c>
      <c r="J22" s="13" t="str">
        <f t="shared" si="3"/>
        <v>2020</v>
      </c>
      <c r="K22" s="13" t="str">
        <f t="shared" si="4"/>
        <v>045</v>
      </c>
      <c r="L22" s="13">
        <f t="shared" ca="1" si="5"/>
        <v>29</v>
      </c>
      <c r="M22" s="13" t="str">
        <f t="shared" si="6"/>
        <v>Wilson, James</v>
      </c>
      <c r="N22" s="13" t="str">
        <f t="shared" si="7"/>
        <v>wil20045</v>
      </c>
      <c r="O22" s="13" t="str">
        <f t="shared" si="8"/>
        <v>James Wilson (FW)</v>
      </c>
      <c r="P22" s="13" t="str" cm="1">
        <f t="array" ref="P22">CLEANID(A22)</f>
        <v>REG2020045@Liverpool</v>
      </c>
    </row>
    <row r="23" spans="1:16" x14ac:dyDescent="0.25">
      <c r="A23" t="s">
        <v>118</v>
      </c>
      <c r="B23" t="s">
        <v>119</v>
      </c>
      <c r="C23" t="s">
        <v>120</v>
      </c>
      <c r="D23" t="s">
        <v>25</v>
      </c>
      <c r="E23" s="3">
        <v>35302</v>
      </c>
      <c r="F23" s="3"/>
      <c r="G23" s="13" t="str">
        <f t="shared" si="0"/>
        <v>REG2021078@Juventus</v>
      </c>
      <c r="H23" s="13" t="str">
        <f t="shared" si="1"/>
        <v>Juventus</v>
      </c>
      <c r="I23" s="13" t="str">
        <f t="shared" si="2"/>
        <v>reg2021078@juventus.com</v>
      </c>
      <c r="J23" s="13" t="str">
        <f t="shared" si="3"/>
        <v>2021</v>
      </c>
      <c r="K23" s="13" t="str">
        <f t="shared" si="4"/>
        <v>078</v>
      </c>
      <c r="L23" s="13">
        <f t="shared" ca="1" si="5"/>
        <v>29</v>
      </c>
      <c r="M23" s="13" t="str">
        <f t="shared" si="6"/>
        <v>Fernandez, Luis</v>
      </c>
      <c r="N23" s="13" t="str">
        <f t="shared" si="7"/>
        <v>fer21078</v>
      </c>
      <c r="O23" s="13" t="str">
        <f t="shared" si="8"/>
        <v>Luis Fernandez (MF)</v>
      </c>
      <c r="P23" s="13" t="str" cm="1">
        <f t="array" ref="P23">CLEANID(A23)</f>
        <v>REG2021078@Juventus</v>
      </c>
    </row>
    <row r="24" spans="1:16" x14ac:dyDescent="0.25">
      <c r="A24" t="s">
        <v>121</v>
      </c>
      <c r="B24" t="s">
        <v>122</v>
      </c>
      <c r="C24" t="s">
        <v>123</v>
      </c>
      <c r="D24" t="s">
        <v>29</v>
      </c>
      <c r="E24" s="3">
        <v>34431</v>
      </c>
      <c r="F24" s="3"/>
      <c r="G24" s="13" t="str">
        <f t="shared" si="0"/>
        <v>REG2019167@Dortmund</v>
      </c>
      <c r="H24" s="13" t="str">
        <f t="shared" si="1"/>
        <v>Dortmund</v>
      </c>
      <c r="I24" s="13" t="str">
        <f t="shared" si="2"/>
        <v>reg2019167@dortmund.com</v>
      </c>
      <c r="J24" s="13" t="str">
        <f t="shared" si="3"/>
        <v>2019</v>
      </c>
      <c r="K24" s="13" t="str">
        <f t="shared" si="4"/>
        <v>167</v>
      </c>
      <c r="L24" s="13">
        <f t="shared" ca="1" si="5"/>
        <v>31</v>
      </c>
      <c r="M24" s="13" t="str">
        <f t="shared" si="6"/>
        <v>Rossi, Marco</v>
      </c>
      <c r="N24" s="13" t="str">
        <f t="shared" si="7"/>
        <v>ros19167</v>
      </c>
      <c r="O24" s="13" t="str">
        <f t="shared" si="8"/>
        <v>Marco Rossi (DF)</v>
      </c>
      <c r="P24" s="13" t="str" cm="1">
        <f t="array" ref="P24">CLEANID(A24)</f>
        <v>REG2019167@Dortmund</v>
      </c>
    </row>
    <row r="25" spans="1:16" x14ac:dyDescent="0.25">
      <c r="A25" t="s">
        <v>124</v>
      </c>
      <c r="B25" t="s">
        <v>125</v>
      </c>
      <c r="C25" t="s">
        <v>126</v>
      </c>
      <c r="D25" t="s">
        <v>25</v>
      </c>
      <c r="E25" s="3">
        <v>37417</v>
      </c>
      <c r="F25" s="3"/>
      <c r="G25" s="13" t="str">
        <f t="shared" si="0"/>
        <v>REG2023234@RealMadrid</v>
      </c>
      <c r="H25" s="13" t="str">
        <f t="shared" si="1"/>
        <v>RealMadrid</v>
      </c>
      <c r="I25" s="13" t="str">
        <f t="shared" si="2"/>
        <v>reg2023234@realmadrid.com</v>
      </c>
      <c r="J25" s="13" t="str">
        <f t="shared" si="3"/>
        <v>2023</v>
      </c>
      <c r="K25" s="13" t="str">
        <f t="shared" si="4"/>
        <v>234</v>
      </c>
      <c r="L25" s="13">
        <f t="shared" ca="1" si="5"/>
        <v>23</v>
      </c>
      <c r="M25" s="13" t="str">
        <f t="shared" si="6"/>
        <v>Santos, Paulo</v>
      </c>
      <c r="N25" s="13" t="str">
        <f t="shared" si="7"/>
        <v>san23234</v>
      </c>
      <c r="O25" s="13" t="str">
        <f t="shared" si="8"/>
        <v>Paulo Santos (MF)</v>
      </c>
      <c r="P25" s="13" t="str" cm="1">
        <f t="array" ref="P25">CLEANID(A25)</f>
        <v>REG2023234@RealMadrid</v>
      </c>
    </row>
    <row r="26" spans="1:16" x14ac:dyDescent="0.25">
      <c r="A26" t="s">
        <v>127</v>
      </c>
      <c r="B26" t="s">
        <v>128</v>
      </c>
      <c r="C26" t="s">
        <v>129</v>
      </c>
      <c r="D26" t="s">
        <v>36</v>
      </c>
      <c r="E26" s="3">
        <v>33943</v>
      </c>
      <c r="F26" s="3"/>
      <c r="G26" s="13" t="str">
        <f t="shared" si="0"/>
        <v>REG2020000@Bayern</v>
      </c>
      <c r="H26" s="13" t="str">
        <f t="shared" si="1"/>
        <v>Bayern</v>
      </c>
      <c r="I26" s="13" t="str">
        <f t="shared" si="2"/>
        <v>reg2020000@bayern.com</v>
      </c>
      <c r="J26" s="13" t="str">
        <f t="shared" si="3"/>
        <v>2020</v>
      </c>
      <c r="K26" s="13" t="str">
        <f t="shared" si="4"/>
        <v>000</v>
      </c>
      <c r="L26" s="13">
        <f t="shared" ca="1" si="5"/>
        <v>33</v>
      </c>
      <c r="M26" s="13" t="str">
        <f t="shared" si="6"/>
        <v>Johansson, Erik</v>
      </c>
      <c r="N26" s="13" t="str">
        <f t="shared" si="7"/>
        <v>joh20000</v>
      </c>
      <c r="O26" s="13" t="str">
        <f t="shared" si="8"/>
        <v>Erik Johansson (GK)</v>
      </c>
      <c r="P26" s="13" t="str" cm="1">
        <f t="array" ref="P26">CLEANID(A26)</f>
        <v>REG2020000@Bayern</v>
      </c>
    </row>
    <row r="30" spans="1:16" x14ac:dyDescent="0.25">
      <c r="A30" s="76" t="s">
        <v>247</v>
      </c>
      <c r="B30" s="41" t="s">
        <v>174</v>
      </c>
      <c r="D30" s="41" t="s">
        <v>175</v>
      </c>
    </row>
    <row r="31" spans="1:16" x14ac:dyDescent="0.25">
      <c r="A31" s="88" t="s">
        <v>218</v>
      </c>
      <c r="B31" s="27">
        <v>1</v>
      </c>
      <c r="C31" s="70">
        <v>1</v>
      </c>
      <c r="D31" s="28">
        <f>C31*B31</f>
        <v>1</v>
      </c>
    </row>
    <row r="32" spans="1:16" x14ac:dyDescent="0.25">
      <c r="A32" s="88" t="s">
        <v>219</v>
      </c>
      <c r="B32" s="27">
        <v>1</v>
      </c>
      <c r="C32" s="70">
        <v>1</v>
      </c>
      <c r="D32" s="28">
        <f>C32*B32</f>
        <v>1</v>
      </c>
    </row>
    <row r="33" spans="1:4" x14ac:dyDescent="0.25">
      <c r="A33" s="88" t="s">
        <v>220</v>
      </c>
      <c r="B33" s="27">
        <v>2</v>
      </c>
      <c r="C33" s="70">
        <v>1</v>
      </c>
      <c r="D33" s="28">
        <f>C33*B33</f>
        <v>2</v>
      </c>
    </row>
    <row r="34" spans="1:4" x14ac:dyDescent="0.25">
      <c r="A34" s="88" t="s">
        <v>221</v>
      </c>
      <c r="B34" s="27">
        <v>2</v>
      </c>
      <c r="C34" s="70">
        <v>1</v>
      </c>
      <c r="D34" s="28">
        <f>C34*B34</f>
        <v>2</v>
      </c>
    </row>
    <row r="35" spans="1:4" x14ac:dyDescent="0.25">
      <c r="A35" s="88" t="s">
        <v>222</v>
      </c>
      <c r="B35" s="27">
        <v>2</v>
      </c>
      <c r="C35" s="70">
        <v>1</v>
      </c>
      <c r="D35" s="28">
        <f>C35*B35</f>
        <v>2</v>
      </c>
    </row>
    <row r="36" spans="1:4" x14ac:dyDescent="0.25">
      <c r="A36" s="88" t="s">
        <v>223</v>
      </c>
      <c r="B36" s="27">
        <v>5</v>
      </c>
      <c r="C36" s="70">
        <v>1</v>
      </c>
      <c r="D36" s="28">
        <f>C36*B36</f>
        <v>5</v>
      </c>
    </row>
    <row r="37" spans="1:4" x14ac:dyDescent="0.25">
      <c r="A37" s="88" t="s">
        <v>224</v>
      </c>
      <c r="B37" s="27">
        <v>2</v>
      </c>
      <c r="C37" s="70">
        <v>1</v>
      </c>
      <c r="D37" s="28">
        <f>C37*B37</f>
        <v>2</v>
      </c>
    </row>
    <row r="38" spans="1:4" x14ac:dyDescent="0.25">
      <c r="A38" s="88" t="s">
        <v>225</v>
      </c>
      <c r="B38" s="27">
        <v>5</v>
      </c>
      <c r="C38" s="70">
        <v>1</v>
      </c>
      <c r="D38" s="28">
        <f>C38*B38</f>
        <v>5</v>
      </c>
    </row>
    <row r="39" spans="1:4" x14ac:dyDescent="0.25">
      <c r="A39" s="88" t="s">
        <v>226</v>
      </c>
      <c r="B39" s="27">
        <v>5</v>
      </c>
      <c r="C39" s="70">
        <v>1</v>
      </c>
      <c r="D39" s="28">
        <f>C39*B39</f>
        <v>5</v>
      </c>
    </row>
    <row r="40" spans="1:4" x14ac:dyDescent="0.25">
      <c r="A40" s="89" t="s">
        <v>227</v>
      </c>
      <c r="B40" s="31">
        <v>5</v>
      </c>
      <c r="C40" s="83">
        <v>1</v>
      </c>
      <c r="D40" s="28">
        <f>C40*B40</f>
        <v>5</v>
      </c>
    </row>
    <row r="41" spans="1:4" x14ac:dyDescent="0.25">
      <c r="A41" s="62"/>
      <c r="B41" s="36">
        <f>SUM(B31:B40)</f>
        <v>30</v>
      </c>
      <c r="C41" s="38" t="s">
        <v>173</v>
      </c>
      <c r="D41" s="82">
        <f>SUM(D31:D40)</f>
        <v>30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topLeftCell="A3" workbookViewId="0">
      <selection activeCell="W3" sqref="W3:W13"/>
    </sheetView>
  </sheetViews>
  <sheetFormatPr defaultRowHeight="15" x14ac:dyDescent="0.25"/>
  <cols>
    <col min="1" max="1" width="23.42578125" customWidth="1"/>
    <col min="2" max="2" width="11" customWidth="1"/>
    <col min="3" max="4" width="15" customWidth="1"/>
    <col min="5" max="5" width="13.85546875" customWidth="1"/>
    <col min="6" max="7" width="13.42578125" customWidth="1"/>
    <col min="8" max="8" width="11" customWidth="1"/>
    <col min="9" max="9" width="14.28515625" customWidth="1"/>
    <col min="10" max="10" width="13.7109375" customWidth="1"/>
    <col min="11" max="11" width="27.140625" customWidth="1"/>
    <col min="12" max="15" width="12" customWidth="1"/>
  </cols>
  <sheetData>
    <row r="1" spans="1:18" ht="24.95" customHeight="1" x14ac:dyDescent="0.25">
      <c r="A1" s="18" t="s">
        <v>199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8" x14ac:dyDescent="0.25">
      <c r="A3" s="62" t="s">
        <v>244</v>
      </c>
      <c r="B3" s="62"/>
      <c r="C3" s="62"/>
      <c r="D3" s="62"/>
      <c r="E3" s="62"/>
      <c r="F3" s="62"/>
      <c r="G3" s="62"/>
      <c r="H3" s="62"/>
      <c r="I3" s="62"/>
      <c r="J3" s="62"/>
    </row>
    <row r="4" spans="1:18" x14ac:dyDescent="0.25">
      <c r="A4" s="62" t="s">
        <v>235</v>
      </c>
      <c r="B4" s="62"/>
      <c r="C4" s="62"/>
      <c r="D4" s="62"/>
      <c r="E4" s="62"/>
      <c r="F4" s="62"/>
      <c r="G4" s="62"/>
      <c r="H4" s="62"/>
      <c r="I4" s="62"/>
      <c r="J4" s="62"/>
    </row>
    <row r="5" spans="1:18" x14ac:dyDescent="0.25">
      <c r="A5" s="62" t="s">
        <v>236</v>
      </c>
      <c r="B5" s="62"/>
      <c r="C5" s="62"/>
      <c r="D5" s="62"/>
      <c r="E5" s="62"/>
      <c r="F5" s="62"/>
      <c r="G5" s="62"/>
      <c r="H5" s="62"/>
      <c r="I5" s="62"/>
      <c r="J5" s="62"/>
    </row>
    <row r="6" spans="1:18" x14ac:dyDescent="0.25">
      <c r="A6" s="62" t="s">
        <v>237</v>
      </c>
      <c r="B6" s="62"/>
      <c r="C6" s="62"/>
      <c r="D6" s="62"/>
      <c r="E6" s="62"/>
      <c r="F6" s="62"/>
      <c r="G6" s="62"/>
      <c r="H6" s="62"/>
      <c r="I6" s="62"/>
      <c r="J6" s="62"/>
    </row>
    <row r="7" spans="1:18" x14ac:dyDescent="0.25">
      <c r="A7" s="62" t="s">
        <v>238</v>
      </c>
      <c r="B7" s="62"/>
      <c r="C7" s="62"/>
      <c r="D7" s="62"/>
      <c r="E7" s="62"/>
      <c r="F7" s="62"/>
      <c r="G7" s="62"/>
      <c r="H7" s="62"/>
      <c r="I7" s="62"/>
      <c r="J7" s="58" t="s">
        <v>216</v>
      </c>
    </row>
    <row r="8" spans="1:18" x14ac:dyDescent="0.25">
      <c r="A8" s="62" t="s">
        <v>239</v>
      </c>
      <c r="B8" s="62"/>
      <c r="C8" s="62"/>
      <c r="D8" s="62"/>
      <c r="E8" s="62"/>
      <c r="F8" s="62"/>
      <c r="G8" s="62"/>
      <c r="H8" s="62"/>
      <c r="I8" s="62"/>
      <c r="J8" s="13" t="str">
        <f>IFERROR(AVERAGEIFS(G13:G37,C13:C37,"Bayern",I13:I37,"Win",E13:E37,"&gt;1"),"No matching games")</f>
        <v>No matching games</v>
      </c>
    </row>
    <row r="9" spans="1:18" x14ac:dyDescent="0.25">
      <c r="A9" s="62" t="s">
        <v>245</v>
      </c>
      <c r="B9" s="62"/>
      <c r="C9" s="62"/>
      <c r="D9" s="62"/>
      <c r="E9" s="62"/>
      <c r="F9" s="62"/>
      <c r="G9" s="62"/>
      <c r="H9" s="62"/>
      <c r="I9" s="62"/>
    </row>
    <row r="10" spans="1:18" x14ac:dyDescent="0.25">
      <c r="A10" s="62" t="s">
        <v>246</v>
      </c>
      <c r="B10" s="62"/>
      <c r="C10" s="62"/>
      <c r="D10" s="62"/>
      <c r="E10" s="62"/>
      <c r="F10" s="62"/>
      <c r="G10" s="62"/>
      <c r="H10" s="62"/>
      <c r="I10" s="62"/>
      <c r="J10" s="62"/>
    </row>
    <row r="11" spans="1:18" x14ac:dyDescent="0.25">
      <c r="A11" s="23"/>
      <c r="H11" s="59" t="s">
        <v>219</v>
      </c>
      <c r="I11" s="59" t="s">
        <v>219</v>
      </c>
      <c r="J11" s="59" t="s">
        <v>219</v>
      </c>
    </row>
    <row r="12" spans="1:18" x14ac:dyDescent="0.25">
      <c r="A12" s="8" t="s">
        <v>130</v>
      </c>
      <c r="B12" s="8" t="s">
        <v>131</v>
      </c>
      <c r="C12" s="8" t="s">
        <v>132</v>
      </c>
      <c r="D12" s="8" t="s">
        <v>133</v>
      </c>
      <c r="E12" s="8" t="s">
        <v>134</v>
      </c>
      <c r="F12" s="8" t="s">
        <v>135</v>
      </c>
      <c r="G12" s="8" t="s">
        <v>136</v>
      </c>
      <c r="H12" s="95" t="s">
        <v>137</v>
      </c>
      <c r="I12" s="95" t="s">
        <v>200</v>
      </c>
      <c r="J12" s="95" t="s">
        <v>201</v>
      </c>
      <c r="R12" s="14"/>
    </row>
    <row r="13" spans="1:18" x14ac:dyDescent="0.25">
      <c r="A13" t="s">
        <v>138</v>
      </c>
      <c r="B13" s="3">
        <v>45914</v>
      </c>
      <c r="C13" t="s">
        <v>57</v>
      </c>
      <c r="D13" t="s">
        <v>142</v>
      </c>
      <c r="E13">
        <v>0</v>
      </c>
      <c r="F13">
        <v>0</v>
      </c>
      <c r="G13" s="9">
        <v>31295</v>
      </c>
      <c r="H13" s="71">
        <f t="shared" ref="H13:H37" si="0">E13-F13</f>
        <v>0</v>
      </c>
      <c r="I13" s="71" t="str">
        <f t="shared" ref="I13:I37" si="1">IF(H13&gt;0,"Win",IF(H13&lt;0,"Loss","Draw"))</f>
        <v>Draw</v>
      </c>
      <c r="J13" s="71" t="str">
        <f t="shared" ref="J13:J37" si="2">IF(H13&lt;0,"Win",IF(H13&gt;0,"Loss","Draw"))</f>
        <v>Draw</v>
      </c>
      <c r="L13" s="72" t="s">
        <v>240</v>
      </c>
      <c r="N13" s="76" t="s">
        <v>247</v>
      </c>
      <c r="O13" s="40" t="s">
        <v>174</v>
      </c>
      <c r="P13" s="53"/>
      <c r="Q13" s="40" t="s">
        <v>175</v>
      </c>
      <c r="R13" s="14"/>
    </row>
    <row r="14" spans="1:18" x14ac:dyDescent="0.25">
      <c r="A14" t="s">
        <v>141</v>
      </c>
      <c r="B14" s="3">
        <v>45680</v>
      </c>
      <c r="C14" t="s">
        <v>140</v>
      </c>
      <c r="D14" t="s">
        <v>83</v>
      </c>
      <c r="E14">
        <v>0</v>
      </c>
      <c r="F14">
        <v>5</v>
      </c>
      <c r="G14" s="9">
        <v>80288</v>
      </c>
      <c r="H14" s="71">
        <f t="shared" si="0"/>
        <v>-5</v>
      </c>
      <c r="I14" s="71" t="str">
        <f t="shared" si="1"/>
        <v>Loss</v>
      </c>
      <c r="J14" s="71" t="str">
        <f t="shared" si="2"/>
        <v>Win</v>
      </c>
      <c r="L14" s="44" t="s">
        <v>140</v>
      </c>
      <c r="N14" s="77" t="s">
        <v>218</v>
      </c>
      <c r="O14" s="26">
        <v>1</v>
      </c>
      <c r="P14" s="33">
        <v>1</v>
      </c>
      <c r="Q14" s="55">
        <f>P14*O14</f>
        <v>1</v>
      </c>
      <c r="R14" s="14"/>
    </row>
    <row r="15" spans="1:18" x14ac:dyDescent="0.25">
      <c r="A15" t="s">
        <v>143</v>
      </c>
      <c r="B15" s="3">
        <v>45675</v>
      </c>
      <c r="C15" t="s">
        <v>146</v>
      </c>
      <c r="D15" t="s">
        <v>80</v>
      </c>
      <c r="E15">
        <v>3</v>
      </c>
      <c r="F15">
        <v>5</v>
      </c>
      <c r="G15" s="9">
        <v>34988</v>
      </c>
      <c r="H15" s="71">
        <f t="shared" si="0"/>
        <v>-2</v>
      </c>
      <c r="I15" s="71" t="str">
        <f t="shared" si="1"/>
        <v>Loss</v>
      </c>
      <c r="J15" s="71" t="str">
        <f t="shared" si="2"/>
        <v>Win</v>
      </c>
      <c r="L15" s="72" t="s">
        <v>241</v>
      </c>
      <c r="N15" s="77" t="s">
        <v>219</v>
      </c>
      <c r="O15" s="27">
        <v>1</v>
      </c>
      <c r="P15" s="54">
        <v>1</v>
      </c>
      <c r="Q15" s="39">
        <f>P15*O15</f>
        <v>1</v>
      </c>
      <c r="R15" s="14"/>
    </row>
    <row r="16" spans="1:18" x14ac:dyDescent="0.25">
      <c r="A16" t="s">
        <v>144</v>
      </c>
      <c r="B16" s="3">
        <v>45850</v>
      </c>
      <c r="C16" t="s">
        <v>140</v>
      </c>
      <c r="D16" t="s">
        <v>142</v>
      </c>
      <c r="E16">
        <v>1</v>
      </c>
      <c r="F16">
        <v>0</v>
      </c>
      <c r="G16" s="9">
        <v>82528</v>
      </c>
      <c r="H16" s="71">
        <f t="shared" si="0"/>
        <v>1</v>
      </c>
      <c r="I16" s="71" t="str">
        <f t="shared" si="1"/>
        <v>Win</v>
      </c>
      <c r="J16" s="71" t="str">
        <f t="shared" si="2"/>
        <v>Loss</v>
      </c>
      <c r="L16" s="44" t="s">
        <v>132</v>
      </c>
      <c r="N16" s="77" t="s">
        <v>220</v>
      </c>
      <c r="O16" s="27">
        <v>3</v>
      </c>
      <c r="P16" s="33">
        <v>1</v>
      </c>
      <c r="Q16" s="28">
        <f>P16*O16</f>
        <v>3</v>
      </c>
      <c r="R16" s="14"/>
    </row>
    <row r="17" spans="1:18" x14ac:dyDescent="0.25">
      <c r="A17" t="s">
        <v>145</v>
      </c>
      <c r="B17" s="3">
        <v>45881</v>
      </c>
      <c r="C17" t="s">
        <v>80</v>
      </c>
      <c r="D17" t="s">
        <v>83</v>
      </c>
      <c r="E17">
        <v>4</v>
      </c>
      <c r="F17">
        <v>0</v>
      </c>
      <c r="G17" s="9">
        <v>33454</v>
      </c>
      <c r="H17" s="71">
        <f t="shared" si="0"/>
        <v>4</v>
      </c>
      <c r="I17" s="71" t="str">
        <f t="shared" si="1"/>
        <v>Win</v>
      </c>
      <c r="J17" s="71" t="str">
        <f t="shared" si="2"/>
        <v>Loss</v>
      </c>
      <c r="N17" s="78" t="s">
        <v>221</v>
      </c>
      <c r="O17" s="27">
        <v>2</v>
      </c>
      <c r="P17" s="33">
        <v>1</v>
      </c>
      <c r="Q17" s="28">
        <f>P17*O17</f>
        <v>2</v>
      </c>
      <c r="R17" s="14"/>
    </row>
    <row r="18" spans="1:18" x14ac:dyDescent="0.25">
      <c r="A18" t="s">
        <v>147</v>
      </c>
      <c r="B18" s="3">
        <v>45834</v>
      </c>
      <c r="C18" t="s">
        <v>146</v>
      </c>
      <c r="D18" t="s">
        <v>77</v>
      </c>
      <c r="E18">
        <v>4</v>
      </c>
      <c r="F18">
        <v>3</v>
      </c>
      <c r="G18" s="9">
        <v>76692</v>
      </c>
      <c r="H18" s="71">
        <f t="shared" si="0"/>
        <v>1</v>
      </c>
      <c r="I18" s="71" t="str">
        <f t="shared" si="1"/>
        <v>Win</v>
      </c>
      <c r="J18" s="71" t="str">
        <f t="shared" si="2"/>
        <v>Loss</v>
      </c>
      <c r="N18" s="78" t="s">
        <v>222</v>
      </c>
      <c r="O18" s="27">
        <v>3</v>
      </c>
      <c r="P18" s="33">
        <v>1</v>
      </c>
      <c r="Q18" s="28">
        <f>P18*O18</f>
        <v>3</v>
      </c>
      <c r="R18" s="14"/>
    </row>
    <row r="19" spans="1:18" x14ac:dyDescent="0.25">
      <c r="A19" t="s">
        <v>148</v>
      </c>
      <c r="B19" s="3">
        <v>45824</v>
      </c>
      <c r="C19" t="s">
        <v>80</v>
      </c>
      <c r="D19" t="s">
        <v>142</v>
      </c>
      <c r="E19">
        <v>3</v>
      </c>
      <c r="F19">
        <v>3</v>
      </c>
      <c r="G19" s="9">
        <v>29773</v>
      </c>
      <c r="H19" s="71">
        <f t="shared" si="0"/>
        <v>0</v>
      </c>
      <c r="I19" s="71" t="str">
        <f t="shared" si="1"/>
        <v>Draw</v>
      </c>
      <c r="J19" s="71" t="str">
        <f t="shared" si="2"/>
        <v>Draw</v>
      </c>
      <c r="N19" s="78" t="s">
        <v>223</v>
      </c>
      <c r="O19" s="27">
        <v>5</v>
      </c>
      <c r="P19" s="70">
        <v>1</v>
      </c>
      <c r="Q19" s="28">
        <f>P19*O19</f>
        <v>5</v>
      </c>
      <c r="R19" s="14"/>
    </row>
    <row r="20" spans="1:18" x14ac:dyDescent="0.25">
      <c r="A20" t="s">
        <v>149</v>
      </c>
      <c r="B20" s="3">
        <v>45842</v>
      </c>
      <c r="C20" t="s">
        <v>57</v>
      </c>
      <c r="D20" t="s">
        <v>140</v>
      </c>
      <c r="E20">
        <v>5</v>
      </c>
      <c r="F20">
        <v>4</v>
      </c>
      <c r="G20" s="9">
        <v>58152</v>
      </c>
      <c r="H20" s="71">
        <f t="shared" si="0"/>
        <v>1</v>
      </c>
      <c r="I20" s="71" t="str">
        <f t="shared" si="1"/>
        <v>Win</v>
      </c>
      <c r="J20" s="71" t="str">
        <f t="shared" si="2"/>
        <v>Loss</v>
      </c>
      <c r="N20" s="78" t="s">
        <v>224</v>
      </c>
      <c r="O20" s="27">
        <v>5</v>
      </c>
      <c r="P20" s="33">
        <v>1</v>
      </c>
      <c r="Q20" s="28">
        <f>P20*O20</f>
        <v>5</v>
      </c>
      <c r="R20" s="14"/>
    </row>
    <row r="21" spans="1:18" x14ac:dyDescent="0.25">
      <c r="A21" t="s">
        <v>150</v>
      </c>
      <c r="B21" s="3">
        <v>45702</v>
      </c>
      <c r="C21" t="s">
        <v>140</v>
      </c>
      <c r="D21" t="s">
        <v>77</v>
      </c>
      <c r="E21">
        <v>0</v>
      </c>
      <c r="F21">
        <v>3</v>
      </c>
      <c r="G21" s="9">
        <v>71141</v>
      </c>
      <c r="H21" s="71">
        <f t="shared" si="0"/>
        <v>-3</v>
      </c>
      <c r="I21" s="71" t="str">
        <f t="shared" si="1"/>
        <v>Loss</v>
      </c>
      <c r="J21" s="71" t="str">
        <f t="shared" si="2"/>
        <v>Win</v>
      </c>
      <c r="N21" s="87" t="s">
        <v>225</v>
      </c>
      <c r="O21" s="25">
        <v>5</v>
      </c>
      <c r="P21" s="85">
        <v>1</v>
      </c>
      <c r="Q21" s="25">
        <f>P21*O21</f>
        <v>5</v>
      </c>
      <c r="R21" s="14"/>
    </row>
    <row r="22" spans="1:18" x14ac:dyDescent="0.25">
      <c r="A22" t="s">
        <v>151</v>
      </c>
      <c r="B22" s="3">
        <v>45852</v>
      </c>
      <c r="C22" t="s">
        <v>146</v>
      </c>
      <c r="D22" t="s">
        <v>77</v>
      </c>
      <c r="E22">
        <v>3</v>
      </c>
      <c r="F22">
        <v>4</v>
      </c>
      <c r="G22" s="9">
        <v>51907</v>
      </c>
      <c r="H22" s="71">
        <f t="shared" si="0"/>
        <v>-1</v>
      </c>
      <c r="I22" s="71" t="str">
        <f t="shared" si="1"/>
        <v>Loss</v>
      </c>
      <c r="J22" s="71" t="str">
        <f t="shared" si="2"/>
        <v>Win</v>
      </c>
      <c r="O22" s="84">
        <f>SUM(O14:O21)</f>
        <v>25</v>
      </c>
      <c r="P22" s="84" t="s">
        <v>173</v>
      </c>
      <c r="Q22" s="86">
        <f>SUM(Q14:Q21)</f>
        <v>25</v>
      </c>
    </row>
    <row r="23" spans="1:18" x14ac:dyDescent="0.25">
      <c r="A23" t="s">
        <v>152</v>
      </c>
      <c r="B23" s="3">
        <v>45690</v>
      </c>
      <c r="C23" t="s">
        <v>142</v>
      </c>
      <c r="D23" t="s">
        <v>77</v>
      </c>
      <c r="E23">
        <v>2</v>
      </c>
      <c r="F23">
        <v>2</v>
      </c>
      <c r="G23" s="9">
        <v>45687</v>
      </c>
      <c r="H23" s="71">
        <f t="shared" si="0"/>
        <v>0</v>
      </c>
      <c r="I23" s="71" t="str">
        <f t="shared" si="1"/>
        <v>Draw</v>
      </c>
      <c r="J23" s="71" t="str">
        <f t="shared" si="2"/>
        <v>Draw</v>
      </c>
    </row>
    <row r="24" spans="1:18" x14ac:dyDescent="0.25">
      <c r="A24" t="s">
        <v>153</v>
      </c>
      <c r="B24" s="3">
        <v>45694</v>
      </c>
      <c r="C24" t="s">
        <v>57</v>
      </c>
      <c r="D24" t="s">
        <v>80</v>
      </c>
      <c r="E24">
        <v>3</v>
      </c>
      <c r="F24">
        <v>1</v>
      </c>
      <c r="G24" s="9">
        <v>30452</v>
      </c>
      <c r="H24" s="71">
        <f t="shared" si="0"/>
        <v>2</v>
      </c>
      <c r="I24" s="71" t="str">
        <f t="shared" si="1"/>
        <v>Win</v>
      </c>
      <c r="J24" s="71" t="str">
        <f t="shared" si="2"/>
        <v>Loss</v>
      </c>
    </row>
    <row r="25" spans="1:18" x14ac:dyDescent="0.25">
      <c r="A25" t="s">
        <v>154</v>
      </c>
      <c r="B25" s="3">
        <v>45695</v>
      </c>
      <c r="C25" t="s">
        <v>139</v>
      </c>
      <c r="D25" t="s">
        <v>146</v>
      </c>
      <c r="E25">
        <v>2</v>
      </c>
      <c r="F25">
        <v>4</v>
      </c>
      <c r="G25" s="9">
        <v>29839</v>
      </c>
      <c r="H25" s="71">
        <f t="shared" si="0"/>
        <v>-2</v>
      </c>
      <c r="I25" s="71" t="str">
        <f t="shared" si="1"/>
        <v>Loss</v>
      </c>
      <c r="J25" s="71" t="str">
        <f t="shared" si="2"/>
        <v>Win</v>
      </c>
    </row>
    <row r="26" spans="1:18" x14ac:dyDescent="0.25">
      <c r="A26" t="s">
        <v>155</v>
      </c>
      <c r="B26" s="3">
        <v>45702</v>
      </c>
      <c r="C26" t="s">
        <v>140</v>
      </c>
      <c r="D26" t="s">
        <v>139</v>
      </c>
      <c r="E26">
        <v>1</v>
      </c>
      <c r="F26">
        <v>1</v>
      </c>
      <c r="G26" s="9">
        <v>81681</v>
      </c>
      <c r="H26" s="71">
        <f t="shared" si="0"/>
        <v>0</v>
      </c>
      <c r="I26" s="71" t="str">
        <f t="shared" si="1"/>
        <v>Draw</v>
      </c>
      <c r="J26" s="71" t="str">
        <f t="shared" si="2"/>
        <v>Draw</v>
      </c>
    </row>
    <row r="27" spans="1:18" x14ac:dyDescent="0.25">
      <c r="A27" t="s">
        <v>156</v>
      </c>
      <c r="B27" s="3">
        <v>45855</v>
      </c>
      <c r="C27" t="s">
        <v>80</v>
      </c>
      <c r="D27" t="s">
        <v>139</v>
      </c>
      <c r="E27">
        <v>4</v>
      </c>
      <c r="F27">
        <v>3</v>
      </c>
      <c r="G27" s="9">
        <v>74879</v>
      </c>
      <c r="H27" s="71">
        <f t="shared" si="0"/>
        <v>1</v>
      </c>
      <c r="I27" s="71" t="str">
        <f t="shared" si="1"/>
        <v>Win</v>
      </c>
      <c r="J27" s="71" t="str">
        <f t="shared" si="2"/>
        <v>Loss</v>
      </c>
    </row>
    <row r="28" spans="1:18" x14ac:dyDescent="0.25">
      <c r="A28" t="s">
        <v>157</v>
      </c>
      <c r="B28" s="3">
        <v>45743</v>
      </c>
      <c r="C28" t="s">
        <v>139</v>
      </c>
      <c r="D28" t="s">
        <v>140</v>
      </c>
      <c r="E28">
        <v>2</v>
      </c>
      <c r="F28">
        <v>4</v>
      </c>
      <c r="G28" s="9">
        <v>63712</v>
      </c>
      <c r="H28" s="71">
        <f t="shared" si="0"/>
        <v>-2</v>
      </c>
      <c r="I28" s="71" t="str">
        <f t="shared" si="1"/>
        <v>Loss</v>
      </c>
      <c r="J28" s="71" t="str">
        <f t="shared" si="2"/>
        <v>Win</v>
      </c>
    </row>
    <row r="29" spans="1:18" x14ac:dyDescent="0.25">
      <c r="A29" t="s">
        <v>158</v>
      </c>
      <c r="B29" s="3">
        <v>45800</v>
      </c>
      <c r="C29" t="s">
        <v>139</v>
      </c>
      <c r="D29" t="s">
        <v>57</v>
      </c>
      <c r="E29">
        <v>2</v>
      </c>
      <c r="F29">
        <v>2</v>
      </c>
      <c r="G29" s="9">
        <v>64340</v>
      </c>
      <c r="H29" s="71">
        <f t="shared" si="0"/>
        <v>0</v>
      </c>
      <c r="I29" s="71" t="str">
        <f t="shared" si="1"/>
        <v>Draw</v>
      </c>
      <c r="J29" s="71" t="str">
        <f t="shared" si="2"/>
        <v>Draw</v>
      </c>
    </row>
    <row r="30" spans="1:18" x14ac:dyDescent="0.25">
      <c r="A30" t="s">
        <v>159</v>
      </c>
      <c r="B30" s="3">
        <v>45869</v>
      </c>
      <c r="C30" t="s">
        <v>57</v>
      </c>
      <c r="D30" t="s">
        <v>146</v>
      </c>
      <c r="E30">
        <v>3</v>
      </c>
      <c r="F30">
        <v>5</v>
      </c>
      <c r="G30" s="9">
        <v>58338</v>
      </c>
      <c r="H30" s="71">
        <f t="shared" si="0"/>
        <v>-2</v>
      </c>
      <c r="I30" s="71" t="str">
        <f t="shared" si="1"/>
        <v>Loss</v>
      </c>
      <c r="J30" s="71" t="str">
        <f t="shared" si="2"/>
        <v>Win</v>
      </c>
    </row>
    <row r="31" spans="1:18" x14ac:dyDescent="0.25">
      <c r="A31" t="s">
        <v>160</v>
      </c>
      <c r="B31" s="3">
        <v>45749</v>
      </c>
      <c r="C31" t="s">
        <v>77</v>
      </c>
      <c r="D31" t="s">
        <v>57</v>
      </c>
      <c r="E31">
        <v>1</v>
      </c>
      <c r="F31">
        <v>3</v>
      </c>
      <c r="G31" s="9">
        <v>31979</v>
      </c>
      <c r="H31" s="71">
        <f t="shared" si="0"/>
        <v>-2</v>
      </c>
      <c r="I31" s="71" t="str">
        <f t="shared" si="1"/>
        <v>Loss</v>
      </c>
      <c r="J31" s="71" t="str">
        <f t="shared" si="2"/>
        <v>Win</v>
      </c>
    </row>
    <row r="32" spans="1:18" x14ac:dyDescent="0.25">
      <c r="A32" t="s">
        <v>161</v>
      </c>
      <c r="B32" s="3">
        <v>45831</v>
      </c>
      <c r="C32" t="s">
        <v>77</v>
      </c>
      <c r="D32" t="s">
        <v>140</v>
      </c>
      <c r="E32">
        <v>5</v>
      </c>
      <c r="F32">
        <v>3</v>
      </c>
      <c r="G32" s="9">
        <v>59737</v>
      </c>
      <c r="H32" s="71">
        <f t="shared" si="0"/>
        <v>2</v>
      </c>
      <c r="I32" s="71" t="str">
        <f t="shared" si="1"/>
        <v>Win</v>
      </c>
      <c r="J32" s="71" t="str">
        <f t="shared" si="2"/>
        <v>Loss</v>
      </c>
    </row>
    <row r="33" spans="1:14" x14ac:dyDescent="0.25">
      <c r="A33" t="s">
        <v>162</v>
      </c>
      <c r="B33" s="3">
        <v>45826</v>
      </c>
      <c r="C33" t="s">
        <v>140</v>
      </c>
      <c r="D33" t="s">
        <v>80</v>
      </c>
      <c r="E33">
        <v>5</v>
      </c>
      <c r="F33">
        <v>3</v>
      </c>
      <c r="G33" s="9">
        <v>46100</v>
      </c>
      <c r="H33" s="71">
        <f t="shared" si="0"/>
        <v>2</v>
      </c>
      <c r="I33" s="71" t="str">
        <f t="shared" si="1"/>
        <v>Win</v>
      </c>
      <c r="J33" s="71" t="str">
        <f t="shared" si="2"/>
        <v>Loss</v>
      </c>
    </row>
    <row r="34" spans="1:14" x14ac:dyDescent="0.25">
      <c r="A34" t="s">
        <v>163</v>
      </c>
      <c r="B34" s="3">
        <v>45854</v>
      </c>
      <c r="C34" t="s">
        <v>83</v>
      </c>
      <c r="D34" t="s">
        <v>57</v>
      </c>
      <c r="E34">
        <v>4</v>
      </c>
      <c r="F34">
        <v>4</v>
      </c>
      <c r="G34" s="9">
        <v>41349</v>
      </c>
      <c r="H34" s="71">
        <f t="shared" si="0"/>
        <v>0</v>
      </c>
      <c r="I34" s="71" t="str">
        <f t="shared" si="1"/>
        <v>Draw</v>
      </c>
      <c r="J34" s="71" t="str">
        <f t="shared" si="2"/>
        <v>Draw</v>
      </c>
    </row>
    <row r="35" spans="1:14" x14ac:dyDescent="0.25">
      <c r="A35" t="s">
        <v>164</v>
      </c>
      <c r="B35" s="3">
        <v>45780</v>
      </c>
      <c r="C35" t="s">
        <v>57</v>
      </c>
      <c r="D35" t="s">
        <v>146</v>
      </c>
      <c r="E35">
        <v>5</v>
      </c>
      <c r="F35">
        <v>3</v>
      </c>
      <c r="G35" s="9">
        <v>32981</v>
      </c>
      <c r="H35" s="71">
        <f t="shared" si="0"/>
        <v>2</v>
      </c>
      <c r="I35" s="71" t="str">
        <f t="shared" si="1"/>
        <v>Win</v>
      </c>
      <c r="J35" s="71" t="str">
        <f t="shared" si="2"/>
        <v>Loss</v>
      </c>
    </row>
    <row r="36" spans="1:14" x14ac:dyDescent="0.25">
      <c r="A36" t="s">
        <v>165</v>
      </c>
      <c r="B36" s="3">
        <v>45846</v>
      </c>
      <c r="C36" t="s">
        <v>139</v>
      </c>
      <c r="D36" t="s">
        <v>140</v>
      </c>
      <c r="E36">
        <v>3</v>
      </c>
      <c r="F36">
        <v>3</v>
      </c>
      <c r="G36" s="9">
        <v>45276</v>
      </c>
      <c r="H36" s="71">
        <f t="shared" si="0"/>
        <v>0</v>
      </c>
      <c r="I36" s="71" t="str">
        <f t="shared" si="1"/>
        <v>Draw</v>
      </c>
      <c r="J36" s="71" t="str">
        <f t="shared" si="2"/>
        <v>Draw</v>
      </c>
    </row>
    <row r="37" spans="1:14" x14ac:dyDescent="0.25">
      <c r="A37" t="s">
        <v>166</v>
      </c>
      <c r="B37" s="3">
        <v>45767</v>
      </c>
      <c r="C37" t="s">
        <v>80</v>
      </c>
      <c r="D37" t="s">
        <v>140</v>
      </c>
      <c r="E37">
        <v>2</v>
      </c>
      <c r="F37">
        <v>1</v>
      </c>
      <c r="G37" s="9">
        <v>43875</v>
      </c>
      <c r="H37" s="71">
        <f t="shared" si="0"/>
        <v>1</v>
      </c>
      <c r="I37" s="71" t="str">
        <f t="shared" si="1"/>
        <v>Win</v>
      </c>
      <c r="J37" s="71" t="str">
        <f t="shared" si="2"/>
        <v>Loss</v>
      </c>
    </row>
    <row r="38" spans="1:14" x14ac:dyDescent="0.25">
      <c r="A38" s="21"/>
      <c r="B38" s="19"/>
      <c r="C38" s="19"/>
      <c r="D38" s="19"/>
      <c r="E38" s="19"/>
      <c r="F38" s="19"/>
      <c r="G38" s="19"/>
      <c r="H38" s="19"/>
      <c r="I38" s="19"/>
      <c r="J38" s="19"/>
      <c r="K38" s="5"/>
      <c r="L38" s="5"/>
      <c r="M38" s="5"/>
      <c r="N38" s="5"/>
    </row>
    <row r="39" spans="1:14" x14ac:dyDescent="0.25">
      <c r="A39" s="20"/>
      <c r="B39" s="19"/>
      <c r="C39" s="19"/>
      <c r="D39" s="19"/>
      <c r="E39" s="19"/>
      <c r="F39" s="19"/>
      <c r="G39" s="19"/>
      <c r="H39" s="19"/>
      <c r="I39" s="19"/>
      <c r="J39" s="19"/>
      <c r="K39" s="5"/>
      <c r="L39" s="5"/>
      <c r="M39" s="5"/>
      <c r="N39" s="5"/>
    </row>
    <row r="40" spans="1:14" x14ac:dyDescent="0.25">
      <c r="A40" s="20"/>
      <c r="B40" s="19"/>
      <c r="C40" s="19"/>
      <c r="D40" s="19"/>
      <c r="E40" s="19"/>
      <c r="F40" s="19"/>
      <c r="G40" s="19"/>
      <c r="H40" s="19"/>
      <c r="I40" s="19"/>
      <c r="J40" s="19"/>
      <c r="K40" s="5"/>
      <c r="L40" s="5"/>
      <c r="M40" s="5"/>
      <c r="N40" s="5"/>
    </row>
    <row r="41" spans="1:14" x14ac:dyDescent="0.25">
      <c r="A41" s="20"/>
      <c r="B41" s="19"/>
      <c r="C41" s="19"/>
      <c r="D41" s="19"/>
      <c r="E41" s="19"/>
      <c r="F41" s="19"/>
      <c r="G41" s="19"/>
      <c r="H41" s="19"/>
      <c r="I41" s="19"/>
      <c r="J41" s="19"/>
      <c r="K41" s="5"/>
      <c r="L41" s="5"/>
      <c r="M41" s="5"/>
      <c r="N41" s="5"/>
    </row>
    <row r="42" spans="1:14" x14ac:dyDescent="0.25">
      <c r="A42" s="20"/>
      <c r="B42" s="19"/>
      <c r="C42" s="19"/>
      <c r="D42" s="19"/>
      <c r="E42" s="19"/>
      <c r="F42" s="19"/>
      <c r="G42" s="19"/>
      <c r="H42" s="19"/>
      <c r="I42" s="19"/>
      <c r="J42" s="19"/>
      <c r="K42" s="5"/>
      <c r="L42" s="5"/>
      <c r="M42" s="5"/>
      <c r="N42" s="5"/>
    </row>
    <row r="43" spans="1:14" x14ac:dyDescent="0.25">
      <c r="A43" s="20"/>
      <c r="B43" s="19"/>
      <c r="C43" s="19"/>
      <c r="D43" s="19"/>
      <c r="E43" s="19"/>
      <c r="F43" s="19"/>
      <c r="G43" s="19"/>
      <c r="H43" s="19"/>
      <c r="I43" s="19"/>
      <c r="J43" s="19"/>
      <c r="K43" s="5"/>
      <c r="L43" s="5"/>
      <c r="M43" s="5"/>
      <c r="N43" s="5"/>
    </row>
    <row r="44" spans="1:14" x14ac:dyDescent="0.25">
      <c r="A44" s="20"/>
      <c r="B44" s="19"/>
      <c r="C44" s="19"/>
      <c r="D44" s="19"/>
      <c r="E44" s="19"/>
      <c r="F44" s="19"/>
      <c r="G44" s="19"/>
      <c r="H44" s="19"/>
      <c r="I44" s="19"/>
      <c r="J44" s="19"/>
      <c r="K44" s="5"/>
      <c r="L44" s="5"/>
      <c r="M44" s="5"/>
      <c r="N44" s="5"/>
    </row>
    <row r="45" spans="1:14" x14ac:dyDescent="0.25">
      <c r="A45" s="20"/>
      <c r="B45" s="19"/>
      <c r="C45" s="19"/>
      <c r="D45" s="19"/>
      <c r="E45" s="19"/>
      <c r="F45" s="19"/>
      <c r="G45" s="19"/>
      <c r="H45" s="19"/>
      <c r="I45" s="19"/>
      <c r="J45" s="19"/>
      <c r="K45" s="5"/>
      <c r="L45" s="5"/>
      <c r="M45" s="5"/>
      <c r="N45" s="5"/>
    </row>
    <row r="46" spans="1:14" x14ac:dyDescent="0.25">
      <c r="A46" s="20"/>
      <c r="B46" s="19"/>
      <c r="C46" s="19"/>
      <c r="D46" s="19"/>
      <c r="E46" s="19"/>
      <c r="F46" s="19"/>
      <c r="G46" s="19"/>
      <c r="H46" s="19"/>
      <c r="I46" s="19"/>
      <c r="J46" s="19"/>
    </row>
  </sheetData>
  <mergeCells count="10">
    <mergeCell ref="A46:J46"/>
    <mergeCell ref="A39:J39"/>
    <mergeCell ref="A1:P1"/>
    <mergeCell ref="A45:J45"/>
    <mergeCell ref="A40:J40"/>
    <mergeCell ref="A43:J43"/>
    <mergeCell ref="A44:J44"/>
    <mergeCell ref="A38:J38"/>
    <mergeCell ref="A42:J42"/>
    <mergeCell ref="A41:J41"/>
  </mergeCells>
  <conditionalFormatting sqref="G13:G37">
    <cfRule type="colorScale" priority="1">
      <colorScale>
        <cfvo type="min"/>
        <cfvo type="max"/>
        <color rgb="FFFF0000"/>
        <color rgb="FF00FF00"/>
      </colorScale>
    </cfRule>
  </conditionalFormatting>
  <conditionalFormatting sqref="H13:H37">
    <cfRule type="iconSet" priority="2">
      <iconSet iconSet="3Symbols">
        <cfvo type="percent" val="0"/>
        <cfvo type="num" val="0"/>
        <cfvo type="num" val="1"/>
      </iconSet>
    </cfRule>
  </conditionalFormatting>
  <conditionalFormatting sqref="A13:J37">
    <cfRule type="expression" dxfId="1" priority="3">
      <formula>$C13=$L$14</formula>
    </cfRule>
  </conditionalFormatting>
  <conditionalFormatting sqref="A12:J37">
    <cfRule type="expression" dxfId="0" priority="4">
      <formula>A$12=$L$16</formula>
    </cfRule>
  </conditionalFormatting>
  <dataValidations count="2">
    <dataValidation type="list" allowBlank="1" showInputMessage="1" showErrorMessage="1" sqref="L14" xr:uid="{EDB382FD-44BE-4C0C-81EE-C11407F753C8}">
      <formula1>"Barcelona,Bayern,Dortmund,Juventus,Liverpool,Man United,PSG,Real Madrid"</formula1>
    </dataValidation>
    <dataValidation type="list" allowBlank="1" showInputMessage="1" showErrorMessage="1" sqref="L16" xr:uid="{0844D1FA-B881-4C8B-9CD6-CB5D224496A8}">
      <formula1>"Match ID,Date,Home Team,Away Team,Home Goals,Away Goals,Attendance,Goal Diff,Result home,Result away"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BF65-761A-4F3B-898E-930AEA1D2323}">
  <dimension ref="B15:G18"/>
  <sheetViews>
    <sheetView workbookViewId="0">
      <selection activeCell="E16" sqref="E16"/>
    </sheetView>
  </sheetViews>
  <sheetFormatPr defaultRowHeight="15" x14ac:dyDescent="0.25"/>
  <sheetData>
    <row r="15" spans="2:7" x14ac:dyDescent="0.25">
      <c r="C15" s="48" t="s">
        <v>189</v>
      </c>
      <c r="D15" s="48" t="s">
        <v>190</v>
      </c>
      <c r="E15" s="48" t="s">
        <v>191</v>
      </c>
      <c r="F15" s="48" t="s">
        <v>192</v>
      </c>
      <c r="G15" s="46" t="s">
        <v>176</v>
      </c>
    </row>
    <row r="16" spans="2:7" x14ac:dyDescent="0.25">
      <c r="B16" s="47" t="s">
        <v>177</v>
      </c>
      <c r="C16" s="49">
        <f>'Section 1 '!X14</f>
        <v>35</v>
      </c>
      <c r="D16" s="52">
        <f>'Section 2'!I51</f>
        <v>45</v>
      </c>
      <c r="E16" s="57">
        <f>'Section 3'!B41</f>
        <v>30</v>
      </c>
      <c r="F16" s="52">
        <f>'Section 4'!O22</f>
        <v>25</v>
      </c>
      <c r="G16" s="63">
        <f>SUM(C16:F16)</f>
        <v>135</v>
      </c>
    </row>
    <row r="17" spans="2:7" x14ac:dyDescent="0.25">
      <c r="B17" s="47" t="s">
        <v>178</v>
      </c>
      <c r="C17" s="51">
        <f>'Section 1 '!Z14</f>
        <v>35</v>
      </c>
      <c r="D17" s="50">
        <f>'Section 2'!K51</f>
        <v>45</v>
      </c>
      <c r="E17" s="69">
        <f>'Section 3'!D41</f>
        <v>30</v>
      </c>
      <c r="F17" s="50">
        <f>'Section 4'!Q22</f>
        <v>25</v>
      </c>
      <c r="G17" s="64">
        <f>SUM(C17:F17)</f>
        <v>135</v>
      </c>
    </row>
    <row r="18" spans="2:7" x14ac:dyDescent="0.25">
      <c r="G18" s="56">
        <f>G17/G16</f>
        <v>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Section 1 </vt:lpstr>
      <vt:lpstr>Section 2</vt:lpstr>
      <vt:lpstr>Section 3</vt:lpstr>
      <vt:lpstr>Section 4</vt:lpstr>
      <vt:lpstr>grading sheet</vt:lpstr>
      <vt:lpstr>Assists</vt:lpstr>
      <vt:lpstr>Attendance</vt:lpstr>
      <vt:lpstr>Avg_Attendance</vt:lpstr>
      <vt:lpstr>Capacity</vt:lpstr>
      <vt:lpstr>Coach_Name</vt:lpstr>
      <vt:lpstr>Goals</vt:lpstr>
      <vt:lpstr>League</vt:lpstr>
      <vt:lpstr>MarketValue</vt:lpstr>
      <vt:lpstr>Matches</vt:lpstr>
      <vt:lpstr>PlayerName</vt:lpstr>
      <vt:lpstr>Position</vt:lpstr>
      <vt:lpstr>RedCards</vt:lpstr>
      <vt:lpstr>Revenue</vt:lpstr>
      <vt:lpstr>Salary</vt:lpstr>
      <vt:lpstr>Stadium</vt:lpstr>
      <vt:lpstr>Team_ID</vt:lpstr>
      <vt:lpstr>Team_Name</vt:lpstr>
      <vt:lpstr>Ticket_Price</vt:lpstr>
      <vt:lpstr>YellowCards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César Alfonso Moreno Pascual</cp:lastModifiedBy>
  <dcterms:created xsi:type="dcterms:W3CDTF">2025-10-21T10:52:13Z</dcterms:created>
  <dcterms:modified xsi:type="dcterms:W3CDTF">2026-03-04T10:49:37Z</dcterms:modified>
</cp:coreProperties>
</file>